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ynne/Desktop/CDA1/2业务数据分析/3、由基础思维范式引申出的分析方法/3、由基础思维范式引申出的分析方法-有答案/"/>
    </mc:Choice>
  </mc:AlternateContent>
  <xr:revisionPtr revIDLastSave="0" documentId="13_ncr:1_{40C3E106-BB7F-A84E-8E70-56132FF6C8BB}" xr6:coauthVersionLast="47" xr6:coauthVersionMax="47" xr10:uidLastSave="{00000000-0000-0000-0000-000000000000}"/>
  <bookViews>
    <workbookView xWindow="560" yWindow="580" windowWidth="28240" windowHeight="16100" xr2:uid="{40019274-66C7-464F-9FFA-7FCD530AF90A}"/>
  </bookViews>
  <sheets>
    <sheet name="趋势图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7" i="1" l="1"/>
  <c r="C46" i="1"/>
  <c r="C45" i="1"/>
  <c r="C44" i="1"/>
  <c r="C43" i="1"/>
  <c r="C42" i="1"/>
  <c r="C41" i="1"/>
  <c r="C40" i="1"/>
  <c r="C39" i="1"/>
  <c r="C38" i="1"/>
  <c r="C37" i="1"/>
  <c r="C36" i="1"/>
  <c r="C29" i="1"/>
  <c r="C20" i="1"/>
  <c r="C21" i="1"/>
  <c r="C22" i="1"/>
  <c r="C23" i="1"/>
  <c r="C24" i="1"/>
  <c r="C25" i="1"/>
  <c r="C26" i="1"/>
  <c r="C27" i="1"/>
  <c r="C28" i="1"/>
  <c r="C19" i="1"/>
  <c r="C4" i="1"/>
  <c r="C5" i="1"/>
  <c r="C6" i="1"/>
  <c r="C7" i="1"/>
  <c r="C8" i="1"/>
  <c r="C9" i="1"/>
  <c r="C10" i="1"/>
  <c r="C11" i="1"/>
  <c r="C12" i="1"/>
  <c r="C13" i="1"/>
  <c r="C3" i="1"/>
  <c r="D43" i="1" l="1"/>
  <c r="D45" i="1"/>
  <c r="D41" i="1"/>
  <c r="D42" i="1"/>
  <c r="D44" i="1"/>
  <c r="D39" i="1"/>
  <c r="D40" i="1"/>
  <c r="D37" i="1"/>
  <c r="D46" i="1"/>
  <c r="D38" i="1"/>
  <c r="D47" i="1"/>
  <c r="D28" i="1"/>
  <c r="D27" i="1"/>
  <c r="D25" i="1"/>
  <c r="D24" i="1"/>
  <c r="D20" i="1"/>
  <c r="D29" i="1"/>
  <c r="D26" i="1"/>
  <c r="D19" i="1"/>
  <c r="D23" i="1"/>
  <c r="D22" i="1"/>
  <c r="D21" i="1"/>
</calcChain>
</file>

<file path=xl/sharedStrings.xml><?xml version="1.0" encoding="utf-8"?>
<sst xmlns="http://schemas.openxmlformats.org/spreadsheetml/2006/main" count="21" uniqueCount="20">
  <si>
    <t>year</t>
    <phoneticPr fontId="3" type="noConversion"/>
  </si>
  <si>
    <t>周</t>
    <phoneticPr fontId="3" type="noConversion"/>
  </si>
  <si>
    <t>订单量（单位：个）</t>
    <phoneticPr fontId="3" type="noConversion"/>
  </si>
  <si>
    <t>平均处理时长（单位：小时）</t>
    <phoneticPr fontId="3" type="noConversion"/>
  </si>
  <si>
    <t>week1</t>
    <phoneticPr fontId="3" type="noConversion"/>
  </si>
  <si>
    <t>week2</t>
  </si>
  <si>
    <t>week3</t>
  </si>
  <si>
    <t>week4</t>
  </si>
  <si>
    <t>week5</t>
  </si>
  <si>
    <t>week6</t>
  </si>
  <si>
    <t>week7</t>
  </si>
  <si>
    <t>week8</t>
  </si>
  <si>
    <t>week9</t>
  </si>
  <si>
    <t>week10</t>
  </si>
  <si>
    <t>week11</t>
  </si>
  <si>
    <t>平均时长（单位：小时）</t>
    <phoneticPr fontId="3" type="noConversion"/>
  </si>
  <si>
    <t>8*5=40</t>
    <phoneticPr fontId="3" type="noConversion"/>
  </si>
  <si>
    <t>预警值</t>
    <phoneticPr fontId="3" type="noConversion"/>
  </si>
  <si>
    <t>月</t>
    <phoneticPr fontId="3" type="noConversion"/>
  </si>
  <si>
    <t>环比增幅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</si>
</sst>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_ "/>
  </numFmts>
  <fonts count="5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FF0000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2" borderId="0" xfId="0" applyFill="1">
      <alignment vertical="center"/>
    </xf>
    <xf numFmtId="14" fontId="0" fillId="2" borderId="0" xfId="0" applyNumberFormat="1" applyFill="1">
      <alignment vertical="center"/>
    </xf>
    <xf numFmtId="0" fontId="0" fillId="2" borderId="1" xfId="0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7" fontId="0" fillId="2" borderId="1" xfId="0" applyNumberForma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177" fontId="4" fillId="2" borderId="1" xfId="0" applyNumberFormat="1" applyFont="1" applyFill="1" applyBorder="1" applyAlignment="1">
      <alignment horizontal="center" vertical="center"/>
    </xf>
    <xf numFmtId="10" fontId="0" fillId="2" borderId="1" xfId="0" applyNumberFormat="1" applyFill="1" applyBorder="1" applyAlignment="1">
      <alignment horizontal="center" vertical="center"/>
    </xf>
    <xf numFmtId="10" fontId="0" fillId="2" borderId="1" xfId="1" applyNumberFormat="1" applyFont="1" applyFill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趋势图!$C$2</c:f>
              <c:strCache>
                <c:ptCount val="1"/>
                <c:pt idx="0">
                  <c:v>订单量（单位：个）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趋势图!$B$3:$B$13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趋势图!$C$3:$C$13</c:f>
              <c:numCache>
                <c:formatCode>General</c:formatCode>
                <c:ptCount val="11"/>
                <c:pt idx="0">
                  <c:v>372</c:v>
                </c:pt>
                <c:pt idx="1">
                  <c:v>473</c:v>
                </c:pt>
                <c:pt idx="2">
                  <c:v>402</c:v>
                </c:pt>
                <c:pt idx="3">
                  <c:v>342</c:v>
                </c:pt>
                <c:pt idx="4">
                  <c:v>323</c:v>
                </c:pt>
                <c:pt idx="5">
                  <c:v>346</c:v>
                </c:pt>
                <c:pt idx="6">
                  <c:v>201</c:v>
                </c:pt>
                <c:pt idx="7">
                  <c:v>218</c:v>
                </c:pt>
                <c:pt idx="8">
                  <c:v>233</c:v>
                </c:pt>
                <c:pt idx="9">
                  <c:v>275</c:v>
                </c:pt>
                <c:pt idx="10">
                  <c:v>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BF-EC4C-99B7-4B4CB58983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6"/>
        <c:overlap val="-74"/>
        <c:axId val="1939265040"/>
        <c:axId val="1939036256"/>
      </c:barChart>
      <c:catAx>
        <c:axId val="1939265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年份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#,##0;\-#,###&quot;年&quot;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39036256"/>
        <c:crosses val="autoZero"/>
        <c:auto val="1"/>
        <c:lblAlgn val="ctr"/>
        <c:lblOffset val="100"/>
        <c:noMultiLvlLbl val="0"/>
      </c:catAx>
      <c:valAx>
        <c:axId val="193903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订单量</a:t>
                </a:r>
                <a:r>
                  <a:rPr lang="en-US" altLang="zh-CN"/>
                  <a:t>(</a:t>
                </a:r>
                <a:r>
                  <a:rPr lang="zh-CN" altLang="en-US"/>
                  <a:t>单位：个</a:t>
                </a:r>
                <a:r>
                  <a:rPr lang="en-US" altLang="zh-CN"/>
                  <a:t>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39265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趋势图!$C$18</c:f>
              <c:strCache>
                <c:ptCount val="1"/>
                <c:pt idx="0">
                  <c:v>平均处理时长（单位：小时）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趋势图!$B$19:$B$29</c:f>
              <c:strCache>
                <c:ptCount val="11"/>
                <c:pt idx="0">
                  <c:v>week1</c:v>
                </c:pt>
                <c:pt idx="1">
                  <c:v>week2</c:v>
                </c:pt>
                <c:pt idx="2">
                  <c:v>week3</c:v>
                </c:pt>
                <c:pt idx="3">
                  <c:v>week4</c:v>
                </c:pt>
                <c:pt idx="4">
                  <c:v>week5</c:v>
                </c:pt>
                <c:pt idx="5">
                  <c:v>week6</c:v>
                </c:pt>
                <c:pt idx="6">
                  <c:v>week7</c:v>
                </c:pt>
                <c:pt idx="7">
                  <c:v>week8</c:v>
                </c:pt>
                <c:pt idx="8">
                  <c:v>week9</c:v>
                </c:pt>
                <c:pt idx="9">
                  <c:v>week10</c:v>
                </c:pt>
                <c:pt idx="10">
                  <c:v>week11</c:v>
                </c:pt>
              </c:strCache>
            </c:strRef>
          </c:cat>
          <c:val>
            <c:numRef>
              <c:f>趋势图!$C$19:$C$29</c:f>
              <c:numCache>
                <c:formatCode>General</c:formatCode>
                <c:ptCount val="11"/>
                <c:pt idx="0">
                  <c:v>24</c:v>
                </c:pt>
                <c:pt idx="1">
                  <c:v>6</c:v>
                </c:pt>
                <c:pt idx="2">
                  <c:v>14</c:v>
                </c:pt>
                <c:pt idx="3">
                  <c:v>4</c:v>
                </c:pt>
                <c:pt idx="4">
                  <c:v>32</c:v>
                </c:pt>
                <c:pt idx="5">
                  <c:v>20</c:v>
                </c:pt>
                <c:pt idx="6">
                  <c:v>35</c:v>
                </c:pt>
                <c:pt idx="7">
                  <c:v>32</c:v>
                </c:pt>
                <c:pt idx="8">
                  <c:v>3</c:v>
                </c:pt>
                <c:pt idx="9">
                  <c:v>1</c:v>
                </c:pt>
                <c:pt idx="10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6E-DB4A-8A31-06E9735174FC}"/>
            </c:ext>
          </c:extLst>
        </c:ser>
        <c:ser>
          <c:idx val="1"/>
          <c:order val="1"/>
          <c:tx>
            <c:strRef>
              <c:f>趋势图!$D$18</c:f>
              <c:strCache>
                <c:ptCount val="1"/>
                <c:pt idx="0">
                  <c:v>平均时长（单位：小时）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趋势图!$B$19:$B$29</c:f>
              <c:strCache>
                <c:ptCount val="11"/>
                <c:pt idx="0">
                  <c:v>week1</c:v>
                </c:pt>
                <c:pt idx="1">
                  <c:v>week2</c:v>
                </c:pt>
                <c:pt idx="2">
                  <c:v>week3</c:v>
                </c:pt>
                <c:pt idx="3">
                  <c:v>week4</c:v>
                </c:pt>
                <c:pt idx="4">
                  <c:v>week5</c:v>
                </c:pt>
                <c:pt idx="5">
                  <c:v>week6</c:v>
                </c:pt>
                <c:pt idx="6">
                  <c:v>week7</c:v>
                </c:pt>
                <c:pt idx="7">
                  <c:v>week8</c:v>
                </c:pt>
                <c:pt idx="8">
                  <c:v>week9</c:v>
                </c:pt>
                <c:pt idx="9">
                  <c:v>week10</c:v>
                </c:pt>
                <c:pt idx="10">
                  <c:v>week11</c:v>
                </c:pt>
              </c:strCache>
            </c:strRef>
          </c:cat>
          <c:val>
            <c:numRef>
              <c:f>趋势图!$D$19:$D$29</c:f>
              <c:numCache>
                <c:formatCode>0_ </c:formatCode>
                <c:ptCount val="11"/>
                <c:pt idx="0">
                  <c:v>19.181818181818183</c:v>
                </c:pt>
                <c:pt idx="1">
                  <c:v>19.181818181818183</c:v>
                </c:pt>
                <c:pt idx="2">
                  <c:v>19.181818181818183</c:v>
                </c:pt>
                <c:pt idx="3">
                  <c:v>19.181818181818183</c:v>
                </c:pt>
                <c:pt idx="4">
                  <c:v>19.181818181818183</c:v>
                </c:pt>
                <c:pt idx="5">
                  <c:v>19.181818181818183</c:v>
                </c:pt>
                <c:pt idx="6">
                  <c:v>19.181818181818183</c:v>
                </c:pt>
                <c:pt idx="7">
                  <c:v>19.181818181818183</c:v>
                </c:pt>
                <c:pt idx="8">
                  <c:v>19.181818181818183</c:v>
                </c:pt>
                <c:pt idx="9">
                  <c:v>19.181818181818183</c:v>
                </c:pt>
                <c:pt idx="10">
                  <c:v>19.181818181818183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6E-DB4A-8A31-06E9735174FC}"/>
            </c:ext>
          </c:extLst>
        </c:ser>
        <c:ser>
          <c:idx val="2"/>
          <c:order val="2"/>
          <c:tx>
            <c:strRef>
              <c:f>趋势图!$E$18</c:f>
              <c:strCache>
                <c:ptCount val="1"/>
                <c:pt idx="0">
                  <c:v>预警值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趋势图!$E$19:$E$29</c:f>
              <c:numCache>
                <c:formatCode>General</c:formatCode>
                <c:ptCount val="11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6E-DB4A-8A31-06E9735174F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1073213023"/>
        <c:axId val="1523577024"/>
      </c:lineChart>
      <c:catAx>
        <c:axId val="1073213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23577024"/>
        <c:crosses val="autoZero"/>
        <c:auto val="1"/>
        <c:lblAlgn val="ctr"/>
        <c:lblOffset val="100"/>
        <c:noMultiLvlLbl val="0"/>
      </c:catAx>
      <c:valAx>
        <c:axId val="1523577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732130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外呼平均处理时长周度波动图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趋势图!$C$18</c:f>
              <c:strCache>
                <c:ptCount val="1"/>
                <c:pt idx="0">
                  <c:v>平均处理时长（单位：小时）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趋势图!$B$19:$B$29</c:f>
              <c:strCache>
                <c:ptCount val="11"/>
                <c:pt idx="0">
                  <c:v>week1</c:v>
                </c:pt>
                <c:pt idx="1">
                  <c:v>week2</c:v>
                </c:pt>
                <c:pt idx="2">
                  <c:v>week3</c:v>
                </c:pt>
                <c:pt idx="3">
                  <c:v>week4</c:v>
                </c:pt>
                <c:pt idx="4">
                  <c:v>week5</c:v>
                </c:pt>
                <c:pt idx="5">
                  <c:v>week6</c:v>
                </c:pt>
                <c:pt idx="6">
                  <c:v>week7</c:v>
                </c:pt>
                <c:pt idx="7">
                  <c:v>week8</c:v>
                </c:pt>
                <c:pt idx="8">
                  <c:v>week9</c:v>
                </c:pt>
                <c:pt idx="9">
                  <c:v>week10</c:v>
                </c:pt>
                <c:pt idx="10">
                  <c:v>week11</c:v>
                </c:pt>
              </c:strCache>
            </c:strRef>
          </c:cat>
          <c:val>
            <c:numRef>
              <c:f>趋势图!$C$19:$C$29</c:f>
              <c:numCache>
                <c:formatCode>General</c:formatCode>
                <c:ptCount val="11"/>
                <c:pt idx="0">
                  <c:v>24</c:v>
                </c:pt>
                <c:pt idx="1">
                  <c:v>6</c:v>
                </c:pt>
                <c:pt idx="2">
                  <c:v>14</c:v>
                </c:pt>
                <c:pt idx="3">
                  <c:v>4</c:v>
                </c:pt>
                <c:pt idx="4">
                  <c:v>32</c:v>
                </c:pt>
                <c:pt idx="5">
                  <c:v>20</c:v>
                </c:pt>
                <c:pt idx="6">
                  <c:v>35</c:v>
                </c:pt>
                <c:pt idx="7">
                  <c:v>32</c:v>
                </c:pt>
                <c:pt idx="8">
                  <c:v>3</c:v>
                </c:pt>
                <c:pt idx="9">
                  <c:v>1</c:v>
                </c:pt>
                <c:pt idx="10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6E-DB4A-8A31-06E9735174FC}"/>
            </c:ext>
          </c:extLst>
        </c:ser>
        <c:ser>
          <c:idx val="1"/>
          <c:order val="1"/>
          <c:tx>
            <c:strRef>
              <c:f>趋势图!$D$18</c:f>
              <c:strCache>
                <c:ptCount val="1"/>
                <c:pt idx="0">
                  <c:v>平均时长（单位：小时）</c:v>
                </c:pt>
              </c:strCache>
            </c:strRef>
          </c:tx>
          <c:spPr>
            <a:ln w="12700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趋势图!$B$19:$B$29</c:f>
              <c:strCache>
                <c:ptCount val="11"/>
                <c:pt idx="0">
                  <c:v>week1</c:v>
                </c:pt>
                <c:pt idx="1">
                  <c:v>week2</c:v>
                </c:pt>
                <c:pt idx="2">
                  <c:v>week3</c:v>
                </c:pt>
                <c:pt idx="3">
                  <c:v>week4</c:v>
                </c:pt>
                <c:pt idx="4">
                  <c:v>week5</c:v>
                </c:pt>
                <c:pt idx="5">
                  <c:v>week6</c:v>
                </c:pt>
                <c:pt idx="6">
                  <c:v>week7</c:v>
                </c:pt>
                <c:pt idx="7">
                  <c:v>week8</c:v>
                </c:pt>
                <c:pt idx="8">
                  <c:v>week9</c:v>
                </c:pt>
                <c:pt idx="9">
                  <c:v>week10</c:v>
                </c:pt>
                <c:pt idx="10">
                  <c:v>week11</c:v>
                </c:pt>
              </c:strCache>
            </c:strRef>
          </c:cat>
          <c:val>
            <c:numRef>
              <c:f>趋势图!$D$19:$D$29</c:f>
              <c:numCache>
                <c:formatCode>0_ </c:formatCode>
                <c:ptCount val="11"/>
                <c:pt idx="0">
                  <c:v>19.181818181818183</c:v>
                </c:pt>
                <c:pt idx="1">
                  <c:v>19.181818181818183</c:v>
                </c:pt>
                <c:pt idx="2">
                  <c:v>19.181818181818183</c:v>
                </c:pt>
                <c:pt idx="3">
                  <c:v>19.181818181818183</c:v>
                </c:pt>
                <c:pt idx="4">
                  <c:v>19.181818181818183</c:v>
                </c:pt>
                <c:pt idx="5">
                  <c:v>19.181818181818183</c:v>
                </c:pt>
                <c:pt idx="6">
                  <c:v>19.181818181818183</c:v>
                </c:pt>
                <c:pt idx="7">
                  <c:v>19.181818181818183</c:v>
                </c:pt>
                <c:pt idx="8">
                  <c:v>19.181818181818183</c:v>
                </c:pt>
                <c:pt idx="9">
                  <c:v>19.181818181818183</c:v>
                </c:pt>
                <c:pt idx="10">
                  <c:v>19.181818181818183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6E-DB4A-8A31-06E9735174FC}"/>
            </c:ext>
          </c:extLst>
        </c:ser>
        <c:ser>
          <c:idx val="2"/>
          <c:order val="2"/>
          <c:tx>
            <c:strRef>
              <c:f>趋势图!$E$18</c:f>
              <c:strCache>
                <c:ptCount val="1"/>
                <c:pt idx="0">
                  <c:v>预警值</c:v>
                </c:pt>
              </c:strCache>
            </c:strRef>
          </c:tx>
          <c:spPr>
            <a:ln w="15875" cap="rnd" cmpd="sng" algn="ctr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趋势图!$E$19:$E$29</c:f>
              <c:numCache>
                <c:formatCode>General</c:formatCode>
                <c:ptCount val="11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6E-DB4A-8A31-06E9735174F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1073213023"/>
        <c:axId val="1523577024"/>
      </c:lineChart>
      <c:catAx>
        <c:axId val="1073213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23577024"/>
        <c:crosses val="autoZero"/>
        <c:auto val="1"/>
        <c:lblAlgn val="ctr"/>
        <c:lblOffset val="100"/>
        <c:noMultiLvlLbl val="0"/>
      </c:catAx>
      <c:valAx>
        <c:axId val="1523577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732130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订单量月度趋势图及环比增幅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趋势图!$C$35</c:f>
              <c:strCache>
                <c:ptCount val="1"/>
                <c:pt idx="0">
                  <c:v>订单量（单位：个）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趋势图!$B$36:$B$47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趋势图!$C$36:$C$47</c:f>
              <c:numCache>
                <c:formatCode>General</c:formatCode>
                <c:ptCount val="12"/>
                <c:pt idx="0">
                  <c:v>474</c:v>
                </c:pt>
                <c:pt idx="1">
                  <c:v>316</c:v>
                </c:pt>
                <c:pt idx="2">
                  <c:v>237</c:v>
                </c:pt>
                <c:pt idx="3">
                  <c:v>499</c:v>
                </c:pt>
                <c:pt idx="4">
                  <c:v>266</c:v>
                </c:pt>
                <c:pt idx="5">
                  <c:v>375</c:v>
                </c:pt>
                <c:pt idx="6">
                  <c:v>323</c:v>
                </c:pt>
                <c:pt idx="7">
                  <c:v>376</c:v>
                </c:pt>
                <c:pt idx="8">
                  <c:v>259</c:v>
                </c:pt>
                <c:pt idx="9">
                  <c:v>486</c:v>
                </c:pt>
                <c:pt idx="10">
                  <c:v>491</c:v>
                </c:pt>
                <c:pt idx="11">
                  <c:v>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0A-FC4C-A3BA-80C64B8C773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037505887"/>
        <c:axId val="1037080319"/>
      </c:barChart>
      <c:lineChart>
        <c:grouping val="standard"/>
        <c:varyColors val="0"/>
        <c:ser>
          <c:idx val="1"/>
          <c:order val="1"/>
          <c:tx>
            <c:strRef>
              <c:f>趋势图!$D$35</c:f>
              <c:strCache>
                <c:ptCount val="1"/>
                <c:pt idx="0">
                  <c:v>环比增幅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趋势图!$B$36:$B$47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趋势图!$D$36:$D$47</c:f>
              <c:numCache>
                <c:formatCode>0.00%</c:formatCode>
                <c:ptCount val="12"/>
                <c:pt idx="1">
                  <c:v>-0.33333333333333331</c:v>
                </c:pt>
                <c:pt idx="2">
                  <c:v>-0.25</c:v>
                </c:pt>
                <c:pt idx="3">
                  <c:v>1.1054852320675106</c:v>
                </c:pt>
                <c:pt idx="4">
                  <c:v>-0.46693386773547096</c:v>
                </c:pt>
                <c:pt idx="5">
                  <c:v>0.40977443609022557</c:v>
                </c:pt>
                <c:pt idx="6">
                  <c:v>-0.13866666666666666</c:v>
                </c:pt>
                <c:pt idx="7">
                  <c:v>0.16408668730650156</c:v>
                </c:pt>
                <c:pt idx="8">
                  <c:v>-0.31117021276595747</c:v>
                </c:pt>
                <c:pt idx="9">
                  <c:v>0.87644787644787647</c:v>
                </c:pt>
                <c:pt idx="10">
                  <c:v>1.0288065843621399E-2</c:v>
                </c:pt>
                <c:pt idx="11">
                  <c:v>-0.11405295315682282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0A-FC4C-A3BA-80C64B8C773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73999247"/>
        <c:axId val="1384761151"/>
      </c:lineChart>
      <c:catAx>
        <c:axId val="10375058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月份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37080319"/>
        <c:crosses val="autoZero"/>
        <c:auto val="1"/>
        <c:lblAlgn val="ctr"/>
        <c:lblOffset val="100"/>
        <c:noMultiLvlLbl val="0"/>
      </c:catAx>
      <c:valAx>
        <c:axId val="10370803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订单量（个）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37505887"/>
        <c:crosses val="autoZero"/>
        <c:crossBetween val="between"/>
      </c:valAx>
      <c:valAx>
        <c:axId val="1384761151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73999247"/>
        <c:crosses val="max"/>
        <c:crossBetween val="between"/>
      </c:valAx>
      <c:catAx>
        <c:axId val="97399924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8476115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311150</xdr:colOff>
      <xdr:row>0</xdr:row>
      <xdr:rowOff>38100</xdr:rowOff>
    </xdr:from>
    <xdr:to>
      <xdr:col>8</xdr:col>
      <xdr:colOff>596900</xdr:colOff>
      <xdr:row>13</xdr:row>
      <xdr:rowOff>12700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EF2BBB2-2712-7B15-D611-D87F0F0AF6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685800</xdr:colOff>
      <xdr:row>16</xdr:row>
      <xdr:rowOff>63500</xdr:rowOff>
    </xdr:from>
    <xdr:to>
      <xdr:col>12</xdr:col>
      <xdr:colOff>596900</xdr:colOff>
      <xdr:row>29</xdr:row>
      <xdr:rowOff>165100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A086297F-0960-CE78-4B6B-CEBE430116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444500</xdr:colOff>
      <xdr:row>16</xdr:row>
      <xdr:rowOff>76200</xdr:rowOff>
    </xdr:from>
    <xdr:to>
      <xdr:col>12</xdr:col>
      <xdr:colOff>355600</xdr:colOff>
      <xdr:row>29</xdr:row>
      <xdr:rowOff>177800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EF856CCB-1026-DAB6-523B-06AFB146D4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304800</xdr:colOff>
      <xdr:row>34</xdr:row>
      <xdr:rowOff>12700</xdr:rowOff>
    </xdr:from>
    <xdr:to>
      <xdr:col>12</xdr:col>
      <xdr:colOff>38100</xdr:colOff>
      <xdr:row>47</xdr:row>
      <xdr:rowOff>114300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1F8E1D49-2DBE-BA6A-2901-00DAE684AB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DEFA6-DE8E-6442-9F7F-B7FB976D2274}">
  <dimension ref="A1:E71"/>
  <sheetViews>
    <sheetView tabSelected="1" topLeftCell="A30" workbookViewId="0">
      <selection activeCell="D50" sqref="D50"/>
    </sheetView>
  </sheetViews>
  <sheetFormatPr baseColWidth="10" defaultRowHeight="16"/>
  <cols>
    <col min="1" max="1" width="1.5" style="1" customWidth="1"/>
    <col min="2" max="2" width="10.83203125" style="1"/>
    <col min="3" max="3" width="28.83203125" style="1" customWidth="1"/>
    <col min="4" max="4" width="20.83203125" style="1" customWidth="1"/>
    <col min="5" max="16384" width="10.83203125" style="1"/>
  </cols>
  <sheetData>
    <row r="1" spans="2:3" ht="30" customHeight="1"/>
    <row r="2" spans="2:3">
      <c r="B2" s="3" t="s">
        <v>0</v>
      </c>
      <c r="C2" s="3" t="s">
        <v>2</v>
      </c>
    </row>
    <row r="3" spans="2:3">
      <c r="B3" s="4">
        <v>2014</v>
      </c>
      <c r="C3" s="3">
        <f t="shared" ref="C3:C13" ca="1" si="0">RANDBETWEEN(200,500)</f>
        <v>372</v>
      </c>
    </row>
    <row r="4" spans="2:3">
      <c r="B4" s="4">
        <v>2015</v>
      </c>
      <c r="C4" s="3">
        <f t="shared" ca="1" si="0"/>
        <v>473</v>
      </c>
    </row>
    <row r="5" spans="2:3">
      <c r="B5" s="4">
        <v>2016</v>
      </c>
      <c r="C5" s="3">
        <f t="shared" ca="1" si="0"/>
        <v>402</v>
      </c>
    </row>
    <row r="6" spans="2:3">
      <c r="B6" s="4">
        <v>2017</v>
      </c>
      <c r="C6" s="3">
        <f t="shared" ca="1" si="0"/>
        <v>342</v>
      </c>
    </row>
    <row r="7" spans="2:3">
      <c r="B7" s="4">
        <v>2018</v>
      </c>
      <c r="C7" s="3">
        <f t="shared" ca="1" si="0"/>
        <v>323</v>
      </c>
    </row>
    <row r="8" spans="2:3">
      <c r="B8" s="4">
        <v>2019</v>
      </c>
      <c r="C8" s="3">
        <f t="shared" ca="1" si="0"/>
        <v>346</v>
      </c>
    </row>
    <row r="9" spans="2:3">
      <c r="B9" s="4">
        <v>2020</v>
      </c>
      <c r="C9" s="3">
        <f t="shared" ca="1" si="0"/>
        <v>201</v>
      </c>
    </row>
    <row r="10" spans="2:3">
      <c r="B10" s="4">
        <v>2021</v>
      </c>
      <c r="C10" s="3">
        <f t="shared" ca="1" si="0"/>
        <v>218</v>
      </c>
    </row>
    <row r="11" spans="2:3">
      <c r="B11" s="4">
        <v>2022</v>
      </c>
      <c r="C11" s="3">
        <f t="shared" ca="1" si="0"/>
        <v>233</v>
      </c>
    </row>
    <row r="12" spans="2:3">
      <c r="B12" s="4">
        <v>2023</v>
      </c>
      <c r="C12" s="3">
        <f t="shared" ca="1" si="0"/>
        <v>275</v>
      </c>
    </row>
    <row r="13" spans="2:3">
      <c r="B13" s="4">
        <v>2024</v>
      </c>
      <c r="C13" s="3">
        <f t="shared" ca="1" si="0"/>
        <v>354</v>
      </c>
    </row>
    <row r="17" spans="1:5">
      <c r="A17" s="2"/>
      <c r="C17" s="1" t="s">
        <v>16</v>
      </c>
    </row>
    <row r="18" spans="1:5">
      <c r="A18" s="2"/>
      <c r="B18" s="3" t="s">
        <v>1</v>
      </c>
      <c r="C18" s="3" t="s">
        <v>3</v>
      </c>
      <c r="D18" s="3" t="s">
        <v>15</v>
      </c>
      <c r="E18" s="5" t="s">
        <v>17</v>
      </c>
    </row>
    <row r="19" spans="1:5">
      <c r="A19" s="2"/>
      <c r="B19" s="4" t="s">
        <v>4</v>
      </c>
      <c r="C19" s="3">
        <f ca="1">RANDBETWEEN(1,40)</f>
        <v>24</v>
      </c>
      <c r="D19" s="6">
        <f ca="1">AVERAGE($C$19:$C$29)</f>
        <v>19.181818181818183</v>
      </c>
      <c r="E19" s="7">
        <v>35</v>
      </c>
    </row>
    <row r="20" spans="1:5">
      <c r="A20" s="2"/>
      <c r="B20" s="4" t="s">
        <v>5</v>
      </c>
      <c r="C20" s="3">
        <f t="shared" ref="C20:C28" ca="1" si="1">RANDBETWEEN(1,40)</f>
        <v>6</v>
      </c>
      <c r="D20" s="6">
        <f t="shared" ref="D20:D29" ca="1" si="2">AVERAGE($C$19:$C$29)</f>
        <v>19.181818181818183</v>
      </c>
      <c r="E20" s="7">
        <v>35</v>
      </c>
    </row>
    <row r="21" spans="1:5">
      <c r="A21" s="2"/>
      <c r="B21" s="4" t="s">
        <v>6</v>
      </c>
      <c r="C21" s="3">
        <f t="shared" ca="1" si="1"/>
        <v>14</v>
      </c>
      <c r="D21" s="6">
        <f t="shared" ca="1" si="2"/>
        <v>19.181818181818183</v>
      </c>
      <c r="E21" s="7">
        <v>35</v>
      </c>
    </row>
    <row r="22" spans="1:5">
      <c r="A22" s="2"/>
      <c r="B22" s="4" t="s">
        <v>7</v>
      </c>
      <c r="C22" s="3">
        <f t="shared" ca="1" si="1"/>
        <v>4</v>
      </c>
      <c r="D22" s="6">
        <f t="shared" ca="1" si="2"/>
        <v>19.181818181818183</v>
      </c>
      <c r="E22" s="7">
        <v>35</v>
      </c>
    </row>
    <row r="23" spans="1:5">
      <c r="A23" s="2"/>
      <c r="B23" s="4" t="s">
        <v>8</v>
      </c>
      <c r="C23" s="3">
        <f t="shared" ca="1" si="1"/>
        <v>32</v>
      </c>
      <c r="D23" s="6">
        <f t="shared" ca="1" si="2"/>
        <v>19.181818181818183</v>
      </c>
      <c r="E23" s="7">
        <v>35</v>
      </c>
    </row>
    <row r="24" spans="1:5">
      <c r="A24" s="2"/>
      <c r="B24" s="4" t="s">
        <v>9</v>
      </c>
      <c r="C24" s="3">
        <f t="shared" ca="1" si="1"/>
        <v>20</v>
      </c>
      <c r="D24" s="6">
        <f t="shared" ca="1" si="2"/>
        <v>19.181818181818183</v>
      </c>
      <c r="E24" s="7">
        <v>35</v>
      </c>
    </row>
    <row r="25" spans="1:5">
      <c r="A25" s="2"/>
      <c r="B25" s="4" t="s">
        <v>10</v>
      </c>
      <c r="C25" s="3">
        <f t="shared" ca="1" si="1"/>
        <v>35</v>
      </c>
      <c r="D25" s="6">
        <f t="shared" ca="1" si="2"/>
        <v>19.181818181818183</v>
      </c>
      <c r="E25" s="7">
        <v>35</v>
      </c>
    </row>
    <row r="26" spans="1:5">
      <c r="A26" s="2"/>
      <c r="B26" s="4" t="s">
        <v>11</v>
      </c>
      <c r="C26" s="3">
        <f t="shared" ca="1" si="1"/>
        <v>32</v>
      </c>
      <c r="D26" s="6">
        <f t="shared" ca="1" si="2"/>
        <v>19.181818181818183</v>
      </c>
      <c r="E26" s="7">
        <v>35</v>
      </c>
    </row>
    <row r="27" spans="1:5">
      <c r="A27" s="2"/>
      <c r="B27" s="4" t="s">
        <v>12</v>
      </c>
      <c r="C27" s="3">
        <f t="shared" ca="1" si="1"/>
        <v>3</v>
      </c>
      <c r="D27" s="6">
        <f t="shared" ca="1" si="2"/>
        <v>19.181818181818183</v>
      </c>
      <c r="E27" s="7">
        <v>35</v>
      </c>
    </row>
    <row r="28" spans="1:5">
      <c r="A28" s="2"/>
      <c r="B28" s="4" t="s">
        <v>13</v>
      </c>
      <c r="C28" s="3">
        <f t="shared" ca="1" si="1"/>
        <v>1</v>
      </c>
      <c r="D28" s="6">
        <f t="shared" ca="1" si="2"/>
        <v>19.181818181818183</v>
      </c>
      <c r="E28" s="7">
        <v>35</v>
      </c>
    </row>
    <row r="29" spans="1:5">
      <c r="A29" s="2"/>
      <c r="B29" s="8" t="s">
        <v>14</v>
      </c>
      <c r="C29" s="7">
        <f ca="1">RANDBETWEEN(32,40)</f>
        <v>40</v>
      </c>
      <c r="D29" s="9">
        <f t="shared" ca="1" si="2"/>
        <v>19.181818181818183</v>
      </c>
      <c r="E29" s="7">
        <v>35</v>
      </c>
    </row>
    <row r="30" spans="1:5">
      <c r="A30" s="2"/>
    </row>
    <row r="31" spans="1:5">
      <c r="A31" s="2"/>
    </row>
    <row r="32" spans="1:5">
      <c r="A32" s="2"/>
    </row>
    <row r="33" spans="1:4">
      <c r="A33" s="2"/>
    </row>
    <row r="34" spans="1:4">
      <c r="A34" s="2"/>
    </row>
    <row r="35" spans="1:4">
      <c r="A35" s="2"/>
      <c r="B35" s="3" t="s">
        <v>18</v>
      </c>
      <c r="C35" s="3" t="s">
        <v>2</v>
      </c>
      <c r="D35" s="10" t="s">
        <v>19</v>
      </c>
    </row>
    <row r="36" spans="1:4">
      <c r="A36" s="2"/>
      <c r="B36" s="4">
        <v>1</v>
      </c>
      <c r="C36" s="3">
        <f t="shared" ref="C36:C47" ca="1" si="3">RANDBETWEEN(200,500)</f>
        <v>474</v>
      </c>
      <c r="D36" s="10"/>
    </row>
    <row r="37" spans="1:4">
      <c r="A37" s="2"/>
      <c r="B37" s="4">
        <v>2</v>
      </c>
      <c r="C37" s="3">
        <f t="shared" ca="1" si="3"/>
        <v>316</v>
      </c>
      <c r="D37" s="11">
        <f ca="1">(C37-C36)/C36</f>
        <v>-0.33333333333333331</v>
      </c>
    </row>
    <row r="38" spans="1:4">
      <c r="A38" s="2"/>
      <c r="B38" s="4">
        <v>3</v>
      </c>
      <c r="C38" s="3">
        <f t="shared" ca="1" si="3"/>
        <v>237</v>
      </c>
      <c r="D38" s="11">
        <f t="shared" ref="D38:D47" ca="1" si="4">(C38-C37)/C37</f>
        <v>-0.25</v>
      </c>
    </row>
    <row r="39" spans="1:4">
      <c r="A39" s="2"/>
      <c r="B39" s="4">
        <v>4</v>
      </c>
      <c r="C39" s="3">
        <f t="shared" ca="1" si="3"/>
        <v>499</v>
      </c>
      <c r="D39" s="11">
        <f t="shared" ca="1" si="4"/>
        <v>1.1054852320675106</v>
      </c>
    </row>
    <row r="40" spans="1:4">
      <c r="A40" s="2"/>
      <c r="B40" s="4">
        <v>5</v>
      </c>
      <c r="C40" s="3">
        <f t="shared" ca="1" si="3"/>
        <v>266</v>
      </c>
      <c r="D40" s="11">
        <f t="shared" ca="1" si="4"/>
        <v>-0.46693386773547096</v>
      </c>
    </row>
    <row r="41" spans="1:4">
      <c r="A41" s="2"/>
      <c r="B41" s="4">
        <v>6</v>
      </c>
      <c r="C41" s="3">
        <f t="shared" ca="1" si="3"/>
        <v>375</v>
      </c>
      <c r="D41" s="11">
        <f t="shared" ca="1" si="4"/>
        <v>0.40977443609022557</v>
      </c>
    </row>
    <row r="42" spans="1:4">
      <c r="A42" s="2"/>
      <c r="B42" s="4">
        <v>7</v>
      </c>
      <c r="C42" s="3">
        <f t="shared" ca="1" si="3"/>
        <v>323</v>
      </c>
      <c r="D42" s="11">
        <f t="shared" ca="1" si="4"/>
        <v>-0.13866666666666666</v>
      </c>
    </row>
    <row r="43" spans="1:4">
      <c r="A43" s="2"/>
      <c r="B43" s="4">
        <v>8</v>
      </c>
      <c r="C43" s="3">
        <f t="shared" ca="1" si="3"/>
        <v>376</v>
      </c>
      <c r="D43" s="11">
        <f t="shared" ca="1" si="4"/>
        <v>0.16408668730650156</v>
      </c>
    </row>
    <row r="44" spans="1:4">
      <c r="A44" s="2"/>
      <c r="B44" s="4">
        <v>9</v>
      </c>
      <c r="C44" s="3">
        <f t="shared" ca="1" si="3"/>
        <v>259</v>
      </c>
      <c r="D44" s="11">
        <f t="shared" ca="1" si="4"/>
        <v>-0.31117021276595747</v>
      </c>
    </row>
    <row r="45" spans="1:4">
      <c r="A45" s="2"/>
      <c r="B45" s="4">
        <v>10</v>
      </c>
      <c r="C45" s="3">
        <f t="shared" ca="1" si="3"/>
        <v>486</v>
      </c>
      <c r="D45" s="11">
        <f t="shared" ca="1" si="4"/>
        <v>0.87644787644787647</v>
      </c>
    </row>
    <row r="46" spans="1:4">
      <c r="A46" s="2"/>
      <c r="B46" s="4">
        <v>11</v>
      </c>
      <c r="C46" s="3">
        <f t="shared" ca="1" si="3"/>
        <v>491</v>
      </c>
      <c r="D46" s="11">
        <f t="shared" ca="1" si="4"/>
        <v>1.0288065843621399E-2</v>
      </c>
    </row>
    <row r="47" spans="1:4">
      <c r="A47" s="2"/>
      <c r="B47" s="4">
        <v>12</v>
      </c>
      <c r="C47" s="3">
        <f t="shared" ca="1" si="3"/>
        <v>435</v>
      </c>
      <c r="D47" s="11">
        <f t="shared" ca="1" si="4"/>
        <v>-0.11405295315682282</v>
      </c>
    </row>
    <row r="48" spans="1:4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趋势图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 lynne</dc:creator>
  <cp:lastModifiedBy>liu lynne</cp:lastModifiedBy>
  <dcterms:created xsi:type="dcterms:W3CDTF">2024-10-31T02:05:16Z</dcterms:created>
  <dcterms:modified xsi:type="dcterms:W3CDTF">2024-10-31T09:15:13Z</dcterms:modified>
</cp:coreProperties>
</file>