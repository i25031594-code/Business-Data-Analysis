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ynne/Desktop/CDA1/2业务数据分析/3、由基础思维范式引申出的分析方法/3、由基础思维范式引申出的分析方法-有答案/"/>
    </mc:Choice>
  </mc:AlternateContent>
  <xr:revisionPtr revIDLastSave="0" documentId="13_ncr:1_{D6921F5E-AD21-4D45-BD93-86DCD5DD97B4}" xr6:coauthVersionLast="47" xr6:coauthVersionMax="47" xr10:uidLastSave="{00000000-0000-0000-0000-000000000000}"/>
  <bookViews>
    <workbookView xWindow="560" yWindow="580" windowWidth="28240" windowHeight="16100" xr2:uid="{40019274-66C7-464F-9FFA-7FCD530AF90A}"/>
  </bookViews>
  <sheets>
    <sheet name="关系图" sheetId="5" r:id="rId1"/>
  </sheets>
  <definedNames>
    <definedName name="_xlchart.v1.0" hidden="1">关系图!$M$1</definedName>
    <definedName name="_xlchart.v1.1" hidden="1">关系图!$M$2:$M$340</definedName>
    <definedName name="_xlchart.v1.2" hidden="1">关系图!$N$1</definedName>
    <definedName name="_xlchart.v1.3" hidden="1">关系图!$N$2:$N$340</definedName>
    <definedName name="_xlchart.v1.4" hidden="1">关系图!$O$1</definedName>
    <definedName name="_xlchart.v1.5" hidden="1">关系图!$O$2:$O$340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5" l="1"/>
  <c r="O4" i="5"/>
  <c r="O5" i="5"/>
  <c r="O6" i="5"/>
  <c r="O7" i="5"/>
  <c r="O8" i="5"/>
  <c r="O9" i="5"/>
  <c r="O10" i="5"/>
  <c r="O11" i="5"/>
  <c r="O12" i="5"/>
  <c r="O13" i="5"/>
  <c r="O14" i="5"/>
  <c r="O15" i="5"/>
  <c r="O16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31" i="5"/>
  <c r="O32" i="5"/>
  <c r="O33" i="5"/>
  <c r="O34" i="5"/>
  <c r="O35" i="5"/>
  <c r="O36" i="5"/>
  <c r="O37" i="5"/>
  <c r="O38" i="5"/>
  <c r="O39" i="5"/>
  <c r="O40" i="5"/>
  <c r="O41" i="5"/>
  <c r="O42" i="5"/>
  <c r="O43" i="5"/>
  <c r="O44" i="5"/>
  <c r="O45" i="5"/>
  <c r="O46" i="5"/>
  <c r="O47" i="5"/>
  <c r="O48" i="5"/>
  <c r="O49" i="5"/>
  <c r="O50" i="5"/>
  <c r="O51" i="5"/>
  <c r="O52" i="5"/>
  <c r="O53" i="5"/>
  <c r="O54" i="5"/>
  <c r="O55" i="5"/>
  <c r="O56" i="5"/>
  <c r="O57" i="5"/>
  <c r="O58" i="5"/>
  <c r="O59" i="5"/>
  <c r="O60" i="5"/>
  <c r="O61" i="5"/>
  <c r="O62" i="5"/>
  <c r="O63" i="5"/>
  <c r="O64" i="5"/>
  <c r="O65" i="5"/>
  <c r="O66" i="5"/>
  <c r="O67" i="5"/>
  <c r="O68" i="5"/>
  <c r="O69" i="5"/>
  <c r="O70" i="5"/>
  <c r="O71" i="5"/>
  <c r="O72" i="5"/>
  <c r="O73" i="5"/>
  <c r="O74" i="5"/>
  <c r="O75" i="5"/>
  <c r="O76" i="5"/>
  <c r="O77" i="5"/>
  <c r="O78" i="5"/>
  <c r="O79" i="5"/>
  <c r="O80" i="5"/>
  <c r="O81" i="5"/>
  <c r="O82" i="5"/>
  <c r="O83" i="5"/>
  <c r="O84" i="5"/>
  <c r="O85" i="5"/>
  <c r="O86" i="5"/>
  <c r="O87" i="5"/>
  <c r="O88" i="5"/>
  <c r="O89" i="5"/>
  <c r="O90" i="5"/>
  <c r="O91" i="5"/>
  <c r="O92" i="5"/>
  <c r="O93" i="5"/>
  <c r="O94" i="5"/>
  <c r="O95" i="5"/>
  <c r="O96" i="5"/>
  <c r="O97" i="5"/>
  <c r="O98" i="5"/>
  <c r="O99" i="5"/>
  <c r="O2" i="5"/>
  <c r="N3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0" i="5"/>
  <c r="N31" i="5"/>
  <c r="N32" i="5"/>
  <c r="N33" i="5"/>
  <c r="N34" i="5"/>
  <c r="N35" i="5"/>
  <c r="N36" i="5"/>
  <c r="N37" i="5"/>
  <c r="N38" i="5"/>
  <c r="N39" i="5"/>
  <c r="N40" i="5"/>
  <c r="N41" i="5"/>
  <c r="N42" i="5"/>
  <c r="N43" i="5"/>
  <c r="N44" i="5"/>
  <c r="N45" i="5"/>
  <c r="N46" i="5"/>
  <c r="N47" i="5"/>
  <c r="N48" i="5"/>
  <c r="N49" i="5"/>
  <c r="N50" i="5"/>
  <c r="N51" i="5"/>
  <c r="N52" i="5"/>
  <c r="N53" i="5"/>
  <c r="N54" i="5"/>
  <c r="N55" i="5"/>
  <c r="N56" i="5"/>
  <c r="N57" i="5"/>
  <c r="N58" i="5"/>
  <c r="N59" i="5"/>
  <c r="N60" i="5"/>
  <c r="N61" i="5"/>
  <c r="N62" i="5"/>
  <c r="N63" i="5"/>
  <c r="N64" i="5"/>
  <c r="N65" i="5"/>
  <c r="N66" i="5"/>
  <c r="N67" i="5"/>
  <c r="N68" i="5"/>
  <c r="N69" i="5"/>
  <c r="N70" i="5"/>
  <c r="N71" i="5"/>
  <c r="N72" i="5"/>
  <c r="N73" i="5"/>
  <c r="N74" i="5"/>
  <c r="N75" i="5"/>
  <c r="N76" i="5"/>
  <c r="N77" i="5"/>
  <c r="N78" i="5"/>
  <c r="N79" i="5"/>
  <c r="N80" i="5"/>
  <c r="N81" i="5"/>
  <c r="N82" i="5"/>
  <c r="N83" i="5"/>
  <c r="N84" i="5"/>
  <c r="N85" i="5"/>
  <c r="N86" i="5"/>
  <c r="N87" i="5"/>
  <c r="N88" i="5"/>
  <c r="N89" i="5"/>
  <c r="N90" i="5"/>
  <c r="N91" i="5"/>
  <c r="N92" i="5"/>
  <c r="N93" i="5"/>
  <c r="N94" i="5"/>
  <c r="N95" i="5"/>
  <c r="N96" i="5"/>
  <c r="N97" i="5"/>
  <c r="N98" i="5"/>
  <c r="N99" i="5"/>
  <c r="N2" i="5"/>
  <c r="M3" i="5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M56" i="5"/>
  <c r="M57" i="5"/>
  <c r="M58" i="5"/>
  <c r="M59" i="5"/>
  <c r="M60" i="5"/>
  <c r="M61" i="5"/>
  <c r="M62" i="5"/>
  <c r="M63" i="5"/>
  <c r="M64" i="5"/>
  <c r="M65" i="5"/>
  <c r="M66" i="5"/>
  <c r="M67" i="5"/>
  <c r="M68" i="5"/>
  <c r="M69" i="5"/>
  <c r="M70" i="5"/>
  <c r="M71" i="5"/>
  <c r="M72" i="5"/>
  <c r="M73" i="5"/>
  <c r="M74" i="5"/>
  <c r="M75" i="5"/>
  <c r="M76" i="5"/>
  <c r="M77" i="5"/>
  <c r="M78" i="5"/>
  <c r="M79" i="5"/>
  <c r="M80" i="5"/>
  <c r="M81" i="5"/>
  <c r="M82" i="5"/>
  <c r="M83" i="5"/>
  <c r="M84" i="5"/>
  <c r="M85" i="5"/>
  <c r="M86" i="5"/>
  <c r="M87" i="5"/>
  <c r="M88" i="5"/>
  <c r="M89" i="5"/>
  <c r="M90" i="5"/>
  <c r="M91" i="5"/>
  <c r="M92" i="5"/>
  <c r="M93" i="5"/>
  <c r="M94" i="5"/>
  <c r="M95" i="5"/>
  <c r="M96" i="5"/>
  <c r="M97" i="5"/>
  <c r="M98" i="5"/>
  <c r="M99" i="5"/>
  <c r="M2" i="5"/>
  <c r="D18" i="5"/>
  <c r="C18" i="5"/>
  <c r="D17" i="5"/>
  <c r="C17" i="5"/>
  <c r="D16" i="5"/>
  <c r="C16" i="5"/>
  <c r="C5" i="5"/>
  <c r="D5" i="5"/>
  <c r="C6" i="5"/>
  <c r="D6" i="5"/>
  <c r="C7" i="5"/>
  <c r="D7" i="5"/>
  <c r="C8" i="5"/>
  <c r="D8" i="5"/>
  <c r="C4" i="5"/>
  <c r="D4" i="5"/>
</calcChain>
</file>

<file path=xl/sharedStrings.xml><?xml version="1.0" encoding="utf-8"?>
<sst xmlns="http://schemas.openxmlformats.org/spreadsheetml/2006/main" count="123" uniqueCount="120">
  <si>
    <t>用户 id</t>
    <phoneticPr fontId="1" type="noConversion"/>
  </si>
  <si>
    <t>id1</t>
    <phoneticPr fontId="1" type="noConversion"/>
  </si>
  <si>
    <t>id2</t>
  </si>
  <si>
    <t>id3</t>
  </si>
  <si>
    <t>id4</t>
  </si>
  <si>
    <t>id5</t>
  </si>
  <si>
    <t>id6</t>
  </si>
  <si>
    <t>id7</t>
  </si>
  <si>
    <t>id8</t>
  </si>
  <si>
    <t>id9</t>
  </si>
  <si>
    <t>id10</t>
  </si>
  <si>
    <t>id11</t>
  </si>
  <si>
    <t>id12</t>
  </si>
  <si>
    <t>id13</t>
  </si>
  <si>
    <t>id14</t>
  </si>
  <si>
    <t>id15</t>
  </si>
  <si>
    <t>id16</t>
  </si>
  <si>
    <t>id17</t>
  </si>
  <si>
    <t>id18</t>
  </si>
  <si>
    <t>id19</t>
  </si>
  <si>
    <t>id20</t>
  </si>
  <si>
    <t>id21</t>
  </si>
  <si>
    <t>id24</t>
  </si>
  <si>
    <t>id25</t>
  </si>
  <si>
    <t>id26</t>
  </si>
  <si>
    <t>id27</t>
  </si>
  <si>
    <t>id28</t>
  </si>
  <si>
    <t>id29</t>
  </si>
  <si>
    <t>id30</t>
  </si>
  <si>
    <t>id31</t>
  </si>
  <si>
    <t>id32</t>
  </si>
  <si>
    <t>id33</t>
  </si>
  <si>
    <t>id34</t>
  </si>
  <si>
    <t>id35</t>
  </si>
  <si>
    <t>id36</t>
  </si>
  <si>
    <t>id37</t>
  </si>
  <si>
    <t>id38</t>
  </si>
  <si>
    <t>id39</t>
  </si>
  <si>
    <t>id40</t>
  </si>
  <si>
    <t>id41</t>
  </si>
  <si>
    <t>id42</t>
  </si>
  <si>
    <t>id43</t>
  </si>
  <si>
    <t>id44</t>
  </si>
  <si>
    <t>id45</t>
  </si>
  <si>
    <t>id46</t>
  </si>
  <si>
    <t>id47</t>
  </si>
  <si>
    <t>id48</t>
  </si>
  <si>
    <t>id49</t>
  </si>
  <si>
    <t>id50</t>
  </si>
  <si>
    <t>id51</t>
  </si>
  <si>
    <t>id52</t>
  </si>
  <si>
    <t>id53</t>
  </si>
  <si>
    <t>id54</t>
  </si>
  <si>
    <t>id55</t>
  </si>
  <si>
    <t>id56</t>
  </si>
  <si>
    <t>id57</t>
  </si>
  <si>
    <t>id58</t>
  </si>
  <si>
    <t>id59</t>
  </si>
  <si>
    <t>id60</t>
  </si>
  <si>
    <t>id61</t>
  </si>
  <si>
    <t>id62</t>
  </si>
  <si>
    <t>id63</t>
  </si>
  <si>
    <t>id64</t>
  </si>
  <si>
    <t>id65</t>
  </si>
  <si>
    <t>id66</t>
  </si>
  <si>
    <t>id67</t>
  </si>
  <si>
    <t>id68</t>
  </si>
  <si>
    <t>id69</t>
  </si>
  <si>
    <t>id70</t>
  </si>
  <si>
    <t>id71</t>
  </si>
  <si>
    <t>id72</t>
  </si>
  <si>
    <t>id73</t>
  </si>
  <si>
    <t>id74</t>
  </si>
  <si>
    <t>id75</t>
  </si>
  <si>
    <t>id76</t>
  </si>
  <si>
    <t>id77</t>
  </si>
  <si>
    <t>id78</t>
  </si>
  <si>
    <t>id79</t>
  </si>
  <si>
    <t>id80</t>
  </si>
  <si>
    <t>id81</t>
  </si>
  <si>
    <t>id82</t>
  </si>
  <si>
    <t>id83</t>
  </si>
  <si>
    <t>id84</t>
  </si>
  <si>
    <t>id85</t>
  </si>
  <si>
    <t>id86</t>
  </si>
  <si>
    <t>id87</t>
  </si>
  <si>
    <t>id88</t>
  </si>
  <si>
    <t>id89</t>
  </si>
  <si>
    <t>id90</t>
  </si>
  <si>
    <t>id91</t>
  </si>
  <si>
    <t>id92</t>
  </si>
  <si>
    <t>id93</t>
  </si>
  <si>
    <t>id94</t>
  </si>
  <si>
    <t>id95</t>
  </si>
  <si>
    <t>id96</t>
  </si>
  <si>
    <t>id97</t>
  </si>
  <si>
    <t>id98</t>
  </si>
  <si>
    <t>id99</t>
  </si>
  <si>
    <t>id100</t>
  </si>
  <si>
    <t>分类变量</t>
    <phoneticPr fontId="1" type="noConversion"/>
  </si>
  <si>
    <t>地区/人数</t>
    <phoneticPr fontId="1" type="noConversion"/>
  </si>
  <si>
    <t>营销活动 1</t>
    <phoneticPr fontId="1" type="noConversion"/>
  </si>
  <si>
    <t>营销活动 2</t>
  </si>
  <si>
    <t>营销活动 3</t>
  </si>
  <si>
    <t>营销活动 4</t>
  </si>
  <si>
    <t>营销活动 5</t>
  </si>
  <si>
    <t>下单客户数量</t>
    <phoneticPr fontId="1" type="noConversion"/>
  </si>
  <si>
    <t>下单用户</t>
    <phoneticPr fontId="1" type="noConversion"/>
  </si>
  <si>
    <t>未下单用户</t>
    <phoneticPr fontId="1" type="noConversion"/>
  </si>
  <si>
    <t>忠诚度</t>
    <phoneticPr fontId="1" type="noConversion"/>
  </si>
  <si>
    <t>满意</t>
    <phoneticPr fontId="1" type="noConversion"/>
  </si>
  <si>
    <t>不满意</t>
    <phoneticPr fontId="1" type="noConversion"/>
  </si>
  <si>
    <t>忠诚度高</t>
    <phoneticPr fontId="1" type="noConversion"/>
  </si>
  <si>
    <t>忠诚度中</t>
    <phoneticPr fontId="1" type="noConversion"/>
  </si>
  <si>
    <t>忠诚度低</t>
    <phoneticPr fontId="1" type="noConversion"/>
  </si>
  <si>
    <t>销售金额</t>
    <phoneticPr fontId="1" type="noConversion"/>
  </si>
  <si>
    <t>分类变量&amp;连续变量</t>
    <phoneticPr fontId="1" type="noConversion"/>
  </si>
  <si>
    <t>产出收益</t>
    <phoneticPr fontId="1" type="noConversion"/>
  </si>
  <si>
    <t>投入成本</t>
    <phoneticPr fontId="1" type="noConversion"/>
  </si>
  <si>
    <t>连个连续变量间关系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</si>
</sst>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);[Red]\(0\)"/>
    <numFmt numFmtId="177" formatCode="0_ "/>
  </numFmts>
  <fonts count="4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2"/>
      <scheme val="minor"/>
    </font>
    <font>
      <b/>
      <sz val="12"/>
      <color theme="1"/>
      <name val="等线"/>
      <family val="4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2" borderId="1" xfId="0" applyFill="1" applyBorder="1">
      <alignment vertical="center"/>
    </xf>
    <xf numFmtId="0" fontId="0" fillId="2" borderId="1" xfId="0" applyFill="1" applyBorder="1" applyAlignment="1">
      <alignment horizontal="center" vertical="center"/>
    </xf>
    <xf numFmtId="176" fontId="0" fillId="2" borderId="1" xfId="0" applyNumberForma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/>
    </xf>
    <xf numFmtId="0" fontId="3" fillId="2" borderId="1" xfId="0" applyFont="1" applyFill="1" applyBorder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Alignment="1">
      <alignment horizontal="right" vertical="center"/>
    </xf>
    <xf numFmtId="0" fontId="0" fillId="3" borderId="0" xfId="0" applyFill="1">
      <alignment vertical="center"/>
    </xf>
    <xf numFmtId="177" fontId="0" fillId="0" borderId="1" xfId="0" applyNumberFormat="1" applyBorder="1">
      <alignment vertical="center"/>
    </xf>
    <xf numFmtId="0" fontId="0" fillId="0" borderId="1" xfId="0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各营销活动下单转化情况对比</a:t>
            </a:r>
            <a:endParaRPr 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1"/>
          <c:order val="0"/>
          <c:tx>
            <c:strRef>
              <c:f>关系图!$C$3</c:f>
              <c:strCache>
                <c:ptCount val="1"/>
                <c:pt idx="0">
                  <c:v>下单用户</c:v>
                </c:pt>
              </c:strCache>
            </c:strRef>
          </c:tx>
          <c:spPr>
            <a:solidFill>
              <a:schemeClr val="accent2">
                <a:alpha val="73013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关系图!$B$4:$B$8</c:f>
              <c:strCache>
                <c:ptCount val="5"/>
                <c:pt idx="0">
                  <c:v>营销活动 1</c:v>
                </c:pt>
                <c:pt idx="1">
                  <c:v>营销活动 2</c:v>
                </c:pt>
                <c:pt idx="2">
                  <c:v>营销活动 3</c:v>
                </c:pt>
                <c:pt idx="3">
                  <c:v>营销活动 4</c:v>
                </c:pt>
                <c:pt idx="4">
                  <c:v>营销活动 5</c:v>
                </c:pt>
              </c:strCache>
            </c:strRef>
          </c:cat>
          <c:val>
            <c:numRef>
              <c:f>关系图!$C$4:$C$8</c:f>
              <c:numCache>
                <c:formatCode>General</c:formatCode>
                <c:ptCount val="5"/>
                <c:pt idx="0">
                  <c:v>334</c:v>
                </c:pt>
                <c:pt idx="1">
                  <c:v>405</c:v>
                </c:pt>
                <c:pt idx="2">
                  <c:v>413</c:v>
                </c:pt>
                <c:pt idx="3">
                  <c:v>434</c:v>
                </c:pt>
                <c:pt idx="4">
                  <c:v>330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E4-2148-9418-52FDA8A72FAE}"/>
            </c:ext>
          </c:extLst>
        </c:ser>
        <c:ser>
          <c:idx val="2"/>
          <c:order val="1"/>
          <c:tx>
            <c:strRef>
              <c:f>关系图!$D$3</c:f>
              <c:strCache>
                <c:ptCount val="1"/>
                <c:pt idx="0">
                  <c:v>未下单用户</c:v>
                </c:pt>
              </c:strCache>
            </c:strRef>
          </c:tx>
          <c:spPr>
            <a:solidFill>
              <a:srgbClr val="0070C0">
                <a:alpha val="66114"/>
              </a:srgb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关系图!$B$4:$B$8</c:f>
              <c:strCache>
                <c:ptCount val="5"/>
                <c:pt idx="0">
                  <c:v>营销活动 1</c:v>
                </c:pt>
                <c:pt idx="1">
                  <c:v>营销活动 2</c:v>
                </c:pt>
                <c:pt idx="2">
                  <c:v>营销活动 3</c:v>
                </c:pt>
                <c:pt idx="3">
                  <c:v>营销活动 4</c:v>
                </c:pt>
                <c:pt idx="4">
                  <c:v>营销活动 5</c:v>
                </c:pt>
              </c:strCache>
            </c:strRef>
          </c:cat>
          <c:val>
            <c:numRef>
              <c:f>关系图!$D$4:$D$8</c:f>
              <c:numCache>
                <c:formatCode>General</c:formatCode>
                <c:ptCount val="5"/>
                <c:pt idx="0">
                  <c:v>284</c:v>
                </c:pt>
                <c:pt idx="1">
                  <c:v>496</c:v>
                </c:pt>
                <c:pt idx="2">
                  <c:v>374</c:v>
                </c:pt>
                <c:pt idx="3">
                  <c:v>300</c:v>
                </c:pt>
                <c:pt idx="4">
                  <c:v>422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8E4-2148-9418-52FDA8A72FA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46"/>
        <c:overlap val="100"/>
        <c:axId val="1493027903"/>
        <c:axId val="1672277615"/>
      </c:barChart>
      <c:catAx>
        <c:axId val="1493027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72277615"/>
        <c:crosses val="autoZero"/>
        <c:auto val="1"/>
        <c:lblAlgn val="ctr"/>
        <c:lblOffset val="100"/>
        <c:noMultiLvlLbl val="0"/>
      </c:catAx>
      <c:valAx>
        <c:axId val="1672277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93027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客户忠诚度与满意度关系</a:t>
            </a:r>
            <a:endParaRPr lang="en-US" alt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1"/>
          <c:order val="0"/>
          <c:tx>
            <c:strRef>
              <c:f>关系图!$C$15</c:f>
              <c:strCache>
                <c:ptCount val="1"/>
                <c:pt idx="0">
                  <c:v>满意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关系图!$B$16:$B$18</c:f>
              <c:strCache>
                <c:ptCount val="3"/>
                <c:pt idx="0">
                  <c:v>忠诚度高</c:v>
                </c:pt>
                <c:pt idx="1">
                  <c:v>忠诚度中</c:v>
                </c:pt>
                <c:pt idx="2">
                  <c:v>忠诚度低</c:v>
                </c:pt>
              </c:strCache>
            </c:strRef>
          </c:cat>
          <c:val>
            <c:numRef>
              <c:f>关系图!$C$16:$C$18</c:f>
              <c:numCache>
                <c:formatCode>General</c:formatCode>
                <c:ptCount val="3"/>
                <c:pt idx="0">
                  <c:v>112</c:v>
                </c:pt>
                <c:pt idx="1">
                  <c:v>284</c:v>
                </c:pt>
                <c:pt idx="2">
                  <c:v>257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E3-4446-94D6-381319875740}"/>
            </c:ext>
          </c:extLst>
        </c:ser>
        <c:ser>
          <c:idx val="2"/>
          <c:order val="1"/>
          <c:tx>
            <c:strRef>
              <c:f>关系图!$D$15</c:f>
              <c:strCache>
                <c:ptCount val="1"/>
                <c:pt idx="0">
                  <c:v>不满意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关系图!$B$16:$B$18</c:f>
              <c:strCache>
                <c:ptCount val="3"/>
                <c:pt idx="0">
                  <c:v>忠诚度高</c:v>
                </c:pt>
                <c:pt idx="1">
                  <c:v>忠诚度中</c:v>
                </c:pt>
                <c:pt idx="2">
                  <c:v>忠诚度低</c:v>
                </c:pt>
              </c:strCache>
            </c:strRef>
          </c:cat>
          <c:val>
            <c:numRef>
              <c:f>关系图!$D$16:$D$18</c:f>
              <c:numCache>
                <c:formatCode>General</c:formatCode>
                <c:ptCount val="3"/>
                <c:pt idx="0">
                  <c:v>493</c:v>
                </c:pt>
                <c:pt idx="1">
                  <c:v>324</c:v>
                </c:pt>
                <c:pt idx="2">
                  <c:v>197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E3-4446-94D6-38131987574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46"/>
        <c:overlap val="100"/>
        <c:axId val="1493027903"/>
        <c:axId val="1672277615"/>
      </c:barChart>
      <c:catAx>
        <c:axId val="1493027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72277615"/>
        <c:crosses val="autoZero"/>
        <c:auto val="1"/>
        <c:lblAlgn val="ctr"/>
        <c:lblOffset val="100"/>
        <c:noMultiLvlLbl val="0"/>
      </c:catAx>
      <c:valAx>
        <c:axId val="1672277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93027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7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投入产出分析图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7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关系图!$Z$1</c:f>
              <c:strCache>
                <c:ptCount val="1"/>
                <c:pt idx="0">
                  <c:v>投入成本</c:v>
                </c:pt>
              </c:strCache>
            </c:strRef>
          </c:tx>
          <c:spPr>
            <a:ln w="25400">
              <a:noFill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round/>
              </a:ln>
              <a:effectLst/>
            </c:spPr>
          </c:marker>
          <c:trendline>
            <c:spPr>
              <a:ln w="63500" cap="rnd" cmpd="sng" algn="ctr">
                <a:solidFill>
                  <a:srgbClr val="00B0F0">
                    <a:alpha val="25000"/>
                  </a:srgbClr>
                </a:solidFill>
                <a:round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4715684553152985"/>
                  <c:y val="2.2730548511944483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200" b="1" i="0" u="none" strike="noStrike" kern="1200" baseline="0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altLang="zh-CN" sz="1200" b="1" baseline="0"/>
                      <a:t>y = 0.4815x - 5.7961</a:t>
                    </a:r>
                    <a:r>
                      <a:rPr lang="zh-CN" altLang="en-US" sz="1200" b="1" baseline="0"/>
                      <a:t> ，   </a:t>
                    </a:r>
                    <a:r>
                      <a:rPr lang="en-US" altLang="zh-CN" sz="1200" b="1" baseline="0"/>
                      <a:t>R² = 0.953</a:t>
                    </a:r>
                    <a:endParaRPr lang="en-US" altLang="zh-CN" sz="1200" b="1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关系图!$Y$2:$Y$340</c:f>
              <c:numCache>
                <c:formatCode>0_ </c:formatCode>
                <c:ptCount val="339"/>
                <c:pt idx="0">
                  <c:v>438.20585492194107</c:v>
                </c:pt>
                <c:pt idx="1">
                  <c:v>600.76825567394997</c:v>
                </c:pt>
                <c:pt idx="2">
                  <c:v>555.94608503836639</c:v>
                </c:pt>
                <c:pt idx="3">
                  <c:v>560.20585492194107</c:v>
                </c:pt>
                <c:pt idx="4">
                  <c:v>387.20585492194107</c:v>
                </c:pt>
                <c:pt idx="5">
                  <c:v>629.76825567394997</c:v>
                </c:pt>
                <c:pt idx="6">
                  <c:v>791.94608503836639</c:v>
                </c:pt>
                <c:pt idx="7">
                  <c:v>386.85004357472712</c:v>
                </c:pt>
                <c:pt idx="8">
                  <c:v>306.20585492194107</c:v>
                </c:pt>
                <c:pt idx="9">
                  <c:v>466.85004357472712</c:v>
                </c:pt>
                <c:pt idx="10">
                  <c:v>302.76825567394997</c:v>
                </c:pt>
                <c:pt idx="11">
                  <c:v>470.20585492194107</c:v>
                </c:pt>
                <c:pt idx="12">
                  <c:v>935.20585492194107</c:v>
                </c:pt>
                <c:pt idx="13">
                  <c:v>482.94608503836639</c:v>
                </c:pt>
                <c:pt idx="14">
                  <c:v>315.76825567394997</c:v>
                </c:pt>
                <c:pt idx="15">
                  <c:v>798.76825567394997</c:v>
                </c:pt>
                <c:pt idx="16">
                  <c:v>97.768255673949966</c:v>
                </c:pt>
                <c:pt idx="17">
                  <c:v>653.9725571499132</c:v>
                </c:pt>
                <c:pt idx="18">
                  <c:v>600.94608503836639</c:v>
                </c:pt>
                <c:pt idx="19">
                  <c:v>864.76825567394997</c:v>
                </c:pt>
                <c:pt idx="20">
                  <c:v>803.20585492194107</c:v>
                </c:pt>
                <c:pt idx="21">
                  <c:v>803.9725571499132</c:v>
                </c:pt>
                <c:pt idx="22">
                  <c:v>947.76825567394997</c:v>
                </c:pt>
                <c:pt idx="23">
                  <c:v>532.94608503836639</c:v>
                </c:pt>
                <c:pt idx="24">
                  <c:v>359.9725571499132</c:v>
                </c:pt>
                <c:pt idx="25">
                  <c:v>833.20585492194107</c:v>
                </c:pt>
                <c:pt idx="26">
                  <c:v>401.9725571499132</c:v>
                </c:pt>
                <c:pt idx="27">
                  <c:v>903.9725571499132</c:v>
                </c:pt>
                <c:pt idx="28">
                  <c:v>674.20585492194107</c:v>
                </c:pt>
                <c:pt idx="29">
                  <c:v>315.94608503836639</c:v>
                </c:pt>
                <c:pt idx="30">
                  <c:v>730.94608503836639</c:v>
                </c:pt>
                <c:pt idx="31">
                  <c:v>913.9725571499132</c:v>
                </c:pt>
                <c:pt idx="32">
                  <c:v>354.20585492194107</c:v>
                </c:pt>
                <c:pt idx="33">
                  <c:v>330.76825567394997</c:v>
                </c:pt>
                <c:pt idx="34">
                  <c:v>194.94608503836636</c:v>
                </c:pt>
                <c:pt idx="35">
                  <c:v>537.20585492194107</c:v>
                </c:pt>
                <c:pt idx="36">
                  <c:v>531.94608503836639</c:v>
                </c:pt>
                <c:pt idx="37">
                  <c:v>335.76825567394997</c:v>
                </c:pt>
                <c:pt idx="38">
                  <c:v>865.20585492194107</c:v>
                </c:pt>
                <c:pt idx="39">
                  <c:v>429.94608503836639</c:v>
                </c:pt>
                <c:pt idx="40">
                  <c:v>740.9725571499132</c:v>
                </c:pt>
                <c:pt idx="41">
                  <c:v>303.94608503836639</c:v>
                </c:pt>
                <c:pt idx="42">
                  <c:v>200.97255714991323</c:v>
                </c:pt>
                <c:pt idx="43">
                  <c:v>771.85004357472712</c:v>
                </c:pt>
                <c:pt idx="44">
                  <c:v>422.85004357472712</c:v>
                </c:pt>
                <c:pt idx="45">
                  <c:v>709.76825567394997</c:v>
                </c:pt>
                <c:pt idx="46">
                  <c:v>783.20585492194107</c:v>
                </c:pt>
                <c:pt idx="47">
                  <c:v>684.76825567394997</c:v>
                </c:pt>
                <c:pt idx="48">
                  <c:v>614.20585492194107</c:v>
                </c:pt>
                <c:pt idx="49">
                  <c:v>674.85004357472712</c:v>
                </c:pt>
                <c:pt idx="50">
                  <c:v>877.76825567394997</c:v>
                </c:pt>
                <c:pt idx="51">
                  <c:v>578.85004357472712</c:v>
                </c:pt>
                <c:pt idx="52">
                  <c:v>98.946085038366363</c:v>
                </c:pt>
                <c:pt idx="53">
                  <c:v>50.205854921941096</c:v>
                </c:pt>
                <c:pt idx="54">
                  <c:v>759.9725571499132</c:v>
                </c:pt>
                <c:pt idx="55">
                  <c:v>874.94608503836639</c:v>
                </c:pt>
                <c:pt idx="56">
                  <c:v>106.2058549219411</c:v>
                </c:pt>
                <c:pt idx="57">
                  <c:v>336.85004357472712</c:v>
                </c:pt>
              </c:numCache>
            </c:numRef>
          </c:xVal>
          <c:yVal>
            <c:numRef>
              <c:f>关系图!$Z$2:$Z$340</c:f>
              <c:numCache>
                <c:formatCode>General</c:formatCode>
                <c:ptCount val="339"/>
                <c:pt idx="0">
                  <c:v>155</c:v>
                </c:pt>
                <c:pt idx="1">
                  <c:v>272</c:v>
                </c:pt>
                <c:pt idx="2">
                  <c:v>248</c:v>
                </c:pt>
                <c:pt idx="3">
                  <c:v>292</c:v>
                </c:pt>
                <c:pt idx="4">
                  <c:v>144</c:v>
                </c:pt>
                <c:pt idx="5">
                  <c:v>329</c:v>
                </c:pt>
                <c:pt idx="6">
                  <c:v>411</c:v>
                </c:pt>
                <c:pt idx="7">
                  <c:v>216</c:v>
                </c:pt>
                <c:pt idx="8">
                  <c:v>91</c:v>
                </c:pt>
                <c:pt idx="9">
                  <c:v>195</c:v>
                </c:pt>
                <c:pt idx="10">
                  <c:v>135</c:v>
                </c:pt>
                <c:pt idx="11">
                  <c:v>176</c:v>
                </c:pt>
                <c:pt idx="12">
                  <c:v>415</c:v>
                </c:pt>
                <c:pt idx="13">
                  <c:v>257</c:v>
                </c:pt>
                <c:pt idx="14">
                  <c:v>153</c:v>
                </c:pt>
                <c:pt idx="15">
                  <c:v>357</c:v>
                </c:pt>
                <c:pt idx="16">
                  <c:v>48</c:v>
                </c:pt>
                <c:pt idx="17">
                  <c:v>286</c:v>
                </c:pt>
                <c:pt idx="18">
                  <c:v>292</c:v>
                </c:pt>
                <c:pt idx="19">
                  <c:v>431</c:v>
                </c:pt>
                <c:pt idx="20">
                  <c:v>426</c:v>
                </c:pt>
                <c:pt idx="21">
                  <c:v>385</c:v>
                </c:pt>
                <c:pt idx="22">
                  <c:v>441</c:v>
                </c:pt>
                <c:pt idx="23">
                  <c:v>236</c:v>
                </c:pt>
                <c:pt idx="24">
                  <c:v>154</c:v>
                </c:pt>
                <c:pt idx="25">
                  <c:v>439</c:v>
                </c:pt>
                <c:pt idx="26">
                  <c:v>154</c:v>
                </c:pt>
                <c:pt idx="27">
                  <c:v>387</c:v>
                </c:pt>
                <c:pt idx="28">
                  <c:v>319</c:v>
                </c:pt>
                <c:pt idx="29">
                  <c:v>137</c:v>
                </c:pt>
                <c:pt idx="30">
                  <c:v>329</c:v>
                </c:pt>
                <c:pt idx="31">
                  <c:v>432</c:v>
                </c:pt>
                <c:pt idx="32">
                  <c:v>187</c:v>
                </c:pt>
                <c:pt idx="33">
                  <c:v>136</c:v>
                </c:pt>
                <c:pt idx="34">
                  <c:v>142</c:v>
                </c:pt>
                <c:pt idx="35">
                  <c:v>282</c:v>
                </c:pt>
                <c:pt idx="36">
                  <c:v>241</c:v>
                </c:pt>
                <c:pt idx="37">
                  <c:v>181</c:v>
                </c:pt>
                <c:pt idx="38">
                  <c:v>429</c:v>
                </c:pt>
                <c:pt idx="39">
                  <c:v>175</c:v>
                </c:pt>
                <c:pt idx="40">
                  <c:v>376</c:v>
                </c:pt>
                <c:pt idx="41">
                  <c:v>165</c:v>
                </c:pt>
                <c:pt idx="42">
                  <c:v>95</c:v>
                </c:pt>
                <c:pt idx="43">
                  <c:v>342</c:v>
                </c:pt>
                <c:pt idx="44">
                  <c:v>166</c:v>
                </c:pt>
                <c:pt idx="45">
                  <c:v>341</c:v>
                </c:pt>
                <c:pt idx="46">
                  <c:v>378</c:v>
                </c:pt>
                <c:pt idx="47">
                  <c:v>311</c:v>
                </c:pt>
                <c:pt idx="48">
                  <c:v>326</c:v>
                </c:pt>
                <c:pt idx="49">
                  <c:v>299</c:v>
                </c:pt>
                <c:pt idx="50">
                  <c:v>450</c:v>
                </c:pt>
                <c:pt idx="51">
                  <c:v>276</c:v>
                </c:pt>
                <c:pt idx="52">
                  <c:v>37</c:v>
                </c:pt>
                <c:pt idx="53">
                  <c:v>55</c:v>
                </c:pt>
                <c:pt idx="54">
                  <c:v>356</c:v>
                </c:pt>
                <c:pt idx="55">
                  <c:v>404</c:v>
                </c:pt>
                <c:pt idx="56">
                  <c:v>45</c:v>
                </c:pt>
                <c:pt idx="57">
                  <c:v>153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56F-8744-9DD7-0F7BFD5CCA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0396016"/>
        <c:axId val="320621775"/>
      </c:scatterChart>
      <c:valAx>
        <c:axId val="1600396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投入成本（单位：）</a:t>
                </a:r>
                <a:endParaRPr lang="zh-C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20621775"/>
        <c:crosses val="autoZero"/>
        <c:crossBetween val="midCat"/>
      </c:valAx>
      <c:valAx>
        <c:axId val="320621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获得收益（）</a:t>
                </a:r>
                <a:endParaRPr lang="zh-C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003960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100000">
          <a:schemeClr val="lt1">
            <a:lumMod val="95000"/>
          </a:schemeClr>
        </a:gs>
        <a:gs pos="43000">
          <a:schemeClr val="lt1"/>
        </a:gs>
      </a:gsLst>
      <a:path path="circle">
        <a:fillToRect l="50000" t="50000" r="50000" b="50000"/>
      </a:path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  <cx:data id="1">
      <cx:numDim type="val">
        <cx:f>_xlchart.v1.3</cx:f>
      </cx:numDim>
    </cx:data>
    <cx:data id="2">
      <cx:numDim type="val">
        <cx:f>_xlchart.v1.5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zh-CN" alt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  <a:ea typeface="等线" panose="02010600030101010101" pitchFamily="2" charset="-122"/>
              </a:rPr>
              <a:t>各营销活动中销售额对比图</a:t>
            </a:r>
            <a:endParaRPr lang="en-US" altLang="zh-CN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  <a:ea typeface="等线" panose="02010600030101010101" pitchFamily="2" charset="-122"/>
            </a:endParaRPr>
          </a:p>
        </cx:rich>
      </cx:tx>
    </cx:title>
    <cx:plotArea>
      <cx:plotAreaRegion>
        <cx:series layoutId="boxWhisker" uniqueId="{F7DED511-53B2-A14C-9958-6E8F5DB4C510}">
          <cx:tx>
            <cx:txData>
              <cx:f>_xlchart.v1.0</cx:f>
              <cx:v>营销活动 1</cx:v>
            </cx:txData>
          </cx:tx>
          <cx:dataLabels pos="l">
            <cx:visibility seriesName="0" categoryName="0" value="1"/>
          </cx:dataLabels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B3F305CC-2D65-1049-B8A1-8C2FCFCC2990}">
          <cx:tx>
            <cx:txData>
              <cx:f>_xlchart.v1.2</cx:f>
              <cx:v>营销活动 2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75924D12-A6D2-9545-89F9-97554127EF57}">
          <cx:tx>
            <cx:txData>
              <cx:f>_xlchart.v1.4</cx:f>
              <cx:v>营销活动 3</cx:v>
            </cx:txData>
          </cx:tx>
          <cx:dataLabels>
            <cx:visibility seriesName="0" categoryName="0" value="1"/>
          </cx:dataLabels>
          <cx:dataId val="2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44">
  <cs:axisTitle>
    <cs:lnRef idx="0"/>
    <cs:fillRef idx="0"/>
    <cs:effectRef idx="0"/>
    <cs:fontRef idx="minor">
      <a:schemeClr val="dk1">
        <a:lumMod val="50000"/>
        <a:lumOff val="50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100000">
            <a:schemeClr val="lt1">
              <a:lumMod val="95000"/>
            </a:schemeClr>
          </a:gs>
          <a:gs pos="43000">
            <a:schemeClr val="lt1"/>
          </a:gs>
        </a:gsLst>
        <a:path path="circle">
          <a:fillToRect l="50000" t="50000" r="50000" b="50000"/>
        </a:path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>
        <a:solidFill>
          <a:schemeClr val="phClr">
            <a:alpha val="20000"/>
          </a:schemeClr>
        </a:solidFill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600" b="0" kern="1200" spc="70" baseline="0"/>
  </cs:title>
  <cs:trendline>
    <cs:lnRef idx="0">
      <cs:styleClr val="0"/>
    </cs:lnRef>
    <cs:fillRef idx="0"/>
    <cs:effectRef idx="0"/>
    <cs:fontRef idx="minor">
      <a:schemeClr val="tx1"/>
    </cs:fontRef>
    <cs:spPr>
      <a:ln w="63500" cap="rnd" cmpd="sng" algn="ctr">
        <a:solidFill>
          <a:schemeClr val="phClr">
            <a:alpha val="25000"/>
          </a:schemeClr>
        </a:solidFill>
        <a:round/>
      </a:ln>
    </cs:spPr>
  </cs:trendline>
  <cs:trendline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1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63500</xdr:colOff>
      <xdr:row>0</xdr:row>
      <xdr:rowOff>76200</xdr:rowOff>
    </xdr:from>
    <xdr:to>
      <xdr:col>8</xdr:col>
      <xdr:colOff>673100</xdr:colOff>
      <xdr:row>11</xdr:row>
      <xdr:rowOff>12700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5EC7FD33-4DC4-7C42-9234-9582E3C277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114300</xdr:colOff>
      <xdr:row>11</xdr:row>
      <xdr:rowOff>190500</xdr:rowOff>
    </xdr:from>
    <xdr:to>
      <xdr:col>8</xdr:col>
      <xdr:colOff>685800</xdr:colOff>
      <xdr:row>23</xdr:row>
      <xdr:rowOff>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3BCC87EF-72D4-7C4F-993C-E826ACA6FE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114300</xdr:colOff>
      <xdr:row>0</xdr:row>
      <xdr:rowOff>107950</xdr:rowOff>
    </xdr:from>
    <xdr:to>
      <xdr:col>21</xdr:col>
      <xdr:colOff>774700</xdr:colOff>
      <xdr:row>14</xdr:row>
      <xdr:rowOff>139700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图表 3">
              <a:extLst>
                <a:ext uri="{FF2B5EF4-FFF2-40B4-BE49-F238E27FC236}">
                  <a16:creationId xmlns:a16="http://schemas.microsoft.com/office/drawing/2014/main" id="{4D5FC895-B933-4DED-C760-A4B37A1E638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090400" y="107950"/>
              <a:ext cx="5613400" cy="28765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此图表在您的 Excel 版本中不可用。
编辑此形状或将此工作簿转换为其他文件格式将永久破坏图表。</a:t>
              </a:r>
            </a:p>
          </xdr:txBody>
        </xdr:sp>
      </mc:Fallback>
    </mc:AlternateContent>
    <xdr:clientData/>
  </xdr:twoCellAnchor>
  <xdr:twoCellAnchor>
    <xdr:from>
      <xdr:col>26</xdr:col>
      <xdr:colOff>114300</xdr:colOff>
      <xdr:row>1</xdr:row>
      <xdr:rowOff>82550</xdr:rowOff>
    </xdr:from>
    <xdr:to>
      <xdr:col>35</xdr:col>
      <xdr:colOff>165100</xdr:colOff>
      <xdr:row>18</xdr:row>
      <xdr:rowOff>139700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3B55CD8C-A845-8459-5939-52A8715725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F13CD-E77D-E04A-A042-D2CDED92A893}">
  <dimension ref="B1:Z99"/>
  <sheetViews>
    <sheetView tabSelected="1" topLeftCell="X1" workbookViewId="0">
      <selection activeCell="AL11" sqref="AL11"/>
    </sheetView>
  </sheetViews>
  <sheetFormatPr baseColWidth="10" defaultRowHeight="16"/>
  <cols>
    <col min="1" max="1" width="2.6640625" style="1" customWidth="1"/>
    <col min="2" max="9" width="10.83203125" style="1"/>
    <col min="10" max="10" width="2.1640625" style="10" customWidth="1"/>
    <col min="11" max="11" width="22.33203125" style="1" customWidth="1"/>
    <col min="12" max="22" width="10.83203125" style="1"/>
    <col min="23" max="23" width="2" style="10" customWidth="1"/>
    <col min="24" max="24" width="19.5" style="1" customWidth="1"/>
    <col min="25" max="25" width="11.33203125" style="1" customWidth="1"/>
    <col min="26" max="16384" width="10.83203125" style="1"/>
  </cols>
  <sheetData>
    <row r="1" spans="2:26">
      <c r="B1" s="8" t="s">
        <v>99</v>
      </c>
      <c r="K1" s="9" t="s">
        <v>116</v>
      </c>
      <c r="L1" s="2" t="s">
        <v>0</v>
      </c>
      <c r="M1" s="5" t="s">
        <v>101</v>
      </c>
      <c r="N1" s="5" t="s">
        <v>102</v>
      </c>
      <c r="O1" s="5" t="s">
        <v>103</v>
      </c>
      <c r="X1" s="9" t="s">
        <v>119</v>
      </c>
      <c r="Y1" s="7" t="s">
        <v>117</v>
      </c>
      <c r="Z1" s="7" t="s">
        <v>118</v>
      </c>
    </row>
    <row r="2" spans="2:26">
      <c r="B2" s="1" t="s">
        <v>106</v>
      </c>
      <c r="K2" s="9" t="s">
        <v>115</v>
      </c>
      <c r="L2" s="2" t="s">
        <v>1</v>
      </c>
      <c r="M2" s="6">
        <f ca="1">RANDBETWEEN(50,500)</f>
        <v>96</v>
      </c>
      <c r="N2" s="6">
        <f ca="1">RANDBETWEEN(300,1000)</f>
        <v>964</v>
      </c>
      <c r="O2" s="6">
        <f ca="1">RANDBETWEEN(10,200)</f>
        <v>53</v>
      </c>
      <c r="Y2" s="11">
        <v>438.20585492194107</v>
      </c>
      <c r="Z2" s="12">
        <v>155</v>
      </c>
    </row>
    <row r="3" spans="2:26">
      <c r="B3" s="2" t="s">
        <v>100</v>
      </c>
      <c r="C3" s="4" t="s">
        <v>107</v>
      </c>
      <c r="D3" s="4" t="s">
        <v>108</v>
      </c>
      <c r="L3" s="2" t="s">
        <v>2</v>
      </c>
      <c r="M3" s="6">
        <f t="shared" ref="M3:M66" ca="1" si="0">RANDBETWEEN(50,500)</f>
        <v>200</v>
      </c>
      <c r="N3" s="6">
        <f t="shared" ref="N3:N66" ca="1" si="1">RANDBETWEEN(300,1000)</f>
        <v>738</v>
      </c>
      <c r="O3" s="6">
        <f t="shared" ref="O3:O66" ca="1" si="2">RANDBETWEEN(10,200)</f>
        <v>147</v>
      </c>
      <c r="Y3" s="11">
        <v>600.76825567394997</v>
      </c>
      <c r="Z3" s="12">
        <v>272</v>
      </c>
    </row>
    <row r="4" spans="2:26">
      <c r="B4" s="4" t="s">
        <v>101</v>
      </c>
      <c r="C4" s="3">
        <f ca="1">RANDBETWEEN(100,500)</f>
        <v>334</v>
      </c>
      <c r="D4" s="3">
        <f ca="1">RANDBETWEEN(100,500)</f>
        <v>284</v>
      </c>
      <c r="L4" s="2" t="s">
        <v>3</v>
      </c>
      <c r="M4" s="6">
        <f t="shared" ca="1" si="0"/>
        <v>487</v>
      </c>
      <c r="N4" s="6">
        <f t="shared" ca="1" si="1"/>
        <v>730</v>
      </c>
      <c r="O4" s="6">
        <f t="shared" ca="1" si="2"/>
        <v>57</v>
      </c>
      <c r="Y4" s="11">
        <v>555.94608503836639</v>
      </c>
      <c r="Z4" s="12">
        <v>248</v>
      </c>
    </row>
    <row r="5" spans="2:26">
      <c r="B5" s="4" t="s">
        <v>102</v>
      </c>
      <c r="C5" s="3">
        <f t="shared" ref="C5:D8" ca="1" si="3">RANDBETWEEN(100,500)</f>
        <v>405</v>
      </c>
      <c r="D5" s="3">
        <f t="shared" ca="1" si="3"/>
        <v>496</v>
      </c>
      <c r="L5" s="2" t="s">
        <v>4</v>
      </c>
      <c r="M5" s="6">
        <f t="shared" ca="1" si="0"/>
        <v>156</v>
      </c>
      <c r="N5" s="6">
        <f t="shared" ca="1" si="1"/>
        <v>661</v>
      </c>
      <c r="O5" s="6">
        <f t="shared" ca="1" si="2"/>
        <v>25</v>
      </c>
      <c r="Y5" s="11">
        <v>560.20585492194107</v>
      </c>
      <c r="Z5" s="12">
        <v>292</v>
      </c>
    </row>
    <row r="6" spans="2:26">
      <c r="B6" s="4" t="s">
        <v>103</v>
      </c>
      <c r="C6" s="3">
        <f t="shared" ca="1" si="3"/>
        <v>413</v>
      </c>
      <c r="D6" s="3">
        <f t="shared" ca="1" si="3"/>
        <v>374</v>
      </c>
      <c r="L6" s="2" t="s">
        <v>5</v>
      </c>
      <c r="M6" s="6">
        <f t="shared" ca="1" si="0"/>
        <v>474</v>
      </c>
      <c r="N6" s="6">
        <f t="shared" ca="1" si="1"/>
        <v>757</v>
      </c>
      <c r="O6" s="6">
        <f t="shared" ca="1" si="2"/>
        <v>154</v>
      </c>
      <c r="Y6" s="11">
        <v>387.20585492194107</v>
      </c>
      <c r="Z6" s="12">
        <v>144</v>
      </c>
    </row>
    <row r="7" spans="2:26">
      <c r="B7" s="4" t="s">
        <v>104</v>
      </c>
      <c r="C7" s="3">
        <f t="shared" ca="1" si="3"/>
        <v>434</v>
      </c>
      <c r="D7" s="3">
        <f t="shared" ca="1" si="3"/>
        <v>300</v>
      </c>
      <c r="L7" s="2" t="s">
        <v>6</v>
      </c>
      <c r="M7" s="6">
        <f t="shared" ca="1" si="0"/>
        <v>128</v>
      </c>
      <c r="N7" s="6">
        <f t="shared" ca="1" si="1"/>
        <v>987</v>
      </c>
      <c r="O7" s="6">
        <f t="shared" ca="1" si="2"/>
        <v>95</v>
      </c>
      <c r="Y7" s="11">
        <v>629.76825567394997</v>
      </c>
      <c r="Z7" s="12">
        <v>329</v>
      </c>
    </row>
    <row r="8" spans="2:26">
      <c r="B8" s="4" t="s">
        <v>105</v>
      </c>
      <c r="C8" s="3">
        <f t="shared" ca="1" si="3"/>
        <v>330</v>
      </c>
      <c r="D8" s="3">
        <f t="shared" ca="1" si="3"/>
        <v>422</v>
      </c>
      <c r="L8" s="2" t="s">
        <v>7</v>
      </c>
      <c r="M8" s="6">
        <f t="shared" ca="1" si="0"/>
        <v>428</v>
      </c>
      <c r="N8" s="6">
        <f t="shared" ca="1" si="1"/>
        <v>783</v>
      </c>
      <c r="O8" s="6">
        <f t="shared" ca="1" si="2"/>
        <v>134</v>
      </c>
      <c r="Y8" s="11">
        <v>791.94608503836639</v>
      </c>
      <c r="Z8" s="12">
        <v>411</v>
      </c>
    </row>
    <row r="9" spans="2:26">
      <c r="L9" s="2" t="s">
        <v>8</v>
      </c>
      <c r="M9" s="6">
        <f t="shared" ca="1" si="0"/>
        <v>200</v>
      </c>
      <c r="N9" s="6">
        <f t="shared" ca="1" si="1"/>
        <v>961</v>
      </c>
      <c r="O9" s="6">
        <f t="shared" ca="1" si="2"/>
        <v>96</v>
      </c>
      <c r="Y9" s="11">
        <v>386.85004357472712</v>
      </c>
      <c r="Z9" s="12">
        <v>216</v>
      </c>
    </row>
    <row r="10" spans="2:26">
      <c r="L10" s="2" t="s">
        <v>9</v>
      </c>
      <c r="M10" s="6">
        <f t="shared" ca="1" si="0"/>
        <v>301</v>
      </c>
      <c r="N10" s="6">
        <f t="shared" ca="1" si="1"/>
        <v>481</v>
      </c>
      <c r="O10" s="6">
        <f t="shared" ca="1" si="2"/>
        <v>130</v>
      </c>
      <c r="Y10" s="11">
        <v>306.20585492194107</v>
      </c>
      <c r="Z10" s="12">
        <v>91</v>
      </c>
    </row>
    <row r="11" spans="2:26">
      <c r="L11" s="2" t="s">
        <v>10</v>
      </c>
      <c r="M11" s="6">
        <f t="shared" ca="1" si="0"/>
        <v>459</v>
      </c>
      <c r="N11" s="6">
        <f t="shared" ca="1" si="1"/>
        <v>363</v>
      </c>
      <c r="O11" s="6">
        <f t="shared" ca="1" si="2"/>
        <v>188</v>
      </c>
      <c r="Y11" s="11">
        <v>466.85004357472712</v>
      </c>
      <c r="Z11" s="12">
        <v>195</v>
      </c>
    </row>
    <row r="12" spans="2:26">
      <c r="L12" s="2" t="s">
        <v>11</v>
      </c>
      <c r="M12" s="6">
        <f t="shared" ca="1" si="0"/>
        <v>109</v>
      </c>
      <c r="N12" s="6">
        <f t="shared" ca="1" si="1"/>
        <v>363</v>
      </c>
      <c r="O12" s="6">
        <f t="shared" ca="1" si="2"/>
        <v>112</v>
      </c>
      <c r="Y12" s="11">
        <v>302.76825567394997</v>
      </c>
      <c r="Z12" s="12">
        <v>135</v>
      </c>
    </row>
    <row r="13" spans="2:26">
      <c r="L13" s="2" t="s">
        <v>12</v>
      </c>
      <c r="M13" s="6">
        <f t="shared" ca="1" si="0"/>
        <v>296</v>
      </c>
      <c r="N13" s="6">
        <f t="shared" ca="1" si="1"/>
        <v>509</v>
      </c>
      <c r="O13" s="6">
        <f t="shared" ca="1" si="2"/>
        <v>60</v>
      </c>
      <c r="Y13" s="11">
        <v>470.20585492194107</v>
      </c>
      <c r="Z13" s="12">
        <v>176</v>
      </c>
    </row>
    <row r="14" spans="2:26">
      <c r="L14" s="2" t="s">
        <v>13</v>
      </c>
      <c r="M14" s="6">
        <f t="shared" ca="1" si="0"/>
        <v>317</v>
      </c>
      <c r="N14" s="6">
        <f t="shared" ca="1" si="1"/>
        <v>871</v>
      </c>
      <c r="O14" s="6">
        <f t="shared" ca="1" si="2"/>
        <v>68</v>
      </c>
      <c r="Y14" s="11">
        <v>935.20585492194107</v>
      </c>
      <c r="Z14" s="12">
        <v>415</v>
      </c>
    </row>
    <row r="15" spans="2:26">
      <c r="B15" s="2" t="s">
        <v>109</v>
      </c>
      <c r="C15" s="4" t="s">
        <v>110</v>
      </c>
      <c r="D15" s="4" t="s">
        <v>111</v>
      </c>
      <c r="L15" s="2" t="s">
        <v>14</v>
      </c>
      <c r="M15" s="6">
        <f t="shared" ca="1" si="0"/>
        <v>372</v>
      </c>
      <c r="N15" s="6">
        <f t="shared" ca="1" si="1"/>
        <v>596</v>
      </c>
      <c r="O15" s="6">
        <f t="shared" ca="1" si="2"/>
        <v>80</v>
      </c>
      <c r="Y15" s="11">
        <v>482.94608503836639</v>
      </c>
      <c r="Z15" s="12">
        <v>257</v>
      </c>
    </row>
    <row r="16" spans="2:26">
      <c r="B16" s="4" t="s">
        <v>112</v>
      </c>
      <c r="C16" s="3">
        <f ca="1">RANDBETWEEN(100,500)</f>
        <v>112</v>
      </c>
      <c r="D16" s="3">
        <f ca="1">RANDBETWEEN(100,500)</f>
        <v>493</v>
      </c>
      <c r="L16" s="2" t="s">
        <v>15</v>
      </c>
      <c r="M16" s="6">
        <f t="shared" ca="1" si="0"/>
        <v>65</v>
      </c>
      <c r="N16" s="6">
        <f t="shared" ca="1" si="1"/>
        <v>659</v>
      </c>
      <c r="O16" s="6">
        <f t="shared" ca="1" si="2"/>
        <v>195</v>
      </c>
      <c r="Y16" s="11">
        <v>315.76825567394997</v>
      </c>
      <c r="Z16" s="12">
        <v>153</v>
      </c>
    </row>
    <row r="17" spans="2:26">
      <c r="B17" s="4" t="s">
        <v>113</v>
      </c>
      <c r="C17" s="3">
        <f t="shared" ref="C17:D18" ca="1" si="4">RANDBETWEEN(100,500)</f>
        <v>284</v>
      </c>
      <c r="D17" s="3">
        <f t="shared" ca="1" si="4"/>
        <v>324</v>
      </c>
      <c r="L17" s="2" t="s">
        <v>16</v>
      </c>
      <c r="M17" s="6">
        <f t="shared" ca="1" si="0"/>
        <v>443</v>
      </c>
      <c r="N17" s="6">
        <f t="shared" ca="1" si="1"/>
        <v>956</v>
      </c>
      <c r="O17" s="6">
        <f t="shared" ca="1" si="2"/>
        <v>152</v>
      </c>
      <c r="Y17" s="11">
        <v>798.76825567394997</v>
      </c>
      <c r="Z17" s="12">
        <v>357</v>
      </c>
    </row>
    <row r="18" spans="2:26">
      <c r="B18" s="4" t="s">
        <v>114</v>
      </c>
      <c r="C18" s="3">
        <f t="shared" ca="1" si="4"/>
        <v>257</v>
      </c>
      <c r="D18" s="3">
        <f t="shared" ca="1" si="4"/>
        <v>197</v>
      </c>
      <c r="L18" s="2" t="s">
        <v>17</v>
      </c>
      <c r="M18" s="6">
        <f t="shared" ca="1" si="0"/>
        <v>456</v>
      </c>
      <c r="N18" s="6">
        <f t="shared" ca="1" si="1"/>
        <v>936</v>
      </c>
      <c r="O18" s="6">
        <f t="shared" ca="1" si="2"/>
        <v>24</v>
      </c>
      <c r="Y18" s="11">
        <v>97.768255673949966</v>
      </c>
      <c r="Z18" s="12">
        <v>48</v>
      </c>
    </row>
    <row r="19" spans="2:26">
      <c r="L19" s="2" t="s">
        <v>18</v>
      </c>
      <c r="M19" s="6">
        <f t="shared" ca="1" si="0"/>
        <v>341</v>
      </c>
      <c r="N19" s="6">
        <f t="shared" ca="1" si="1"/>
        <v>870</v>
      </c>
      <c r="O19" s="6">
        <f t="shared" ca="1" si="2"/>
        <v>71</v>
      </c>
      <c r="Y19" s="11">
        <v>653.9725571499132</v>
      </c>
      <c r="Z19" s="12">
        <v>286</v>
      </c>
    </row>
    <row r="20" spans="2:26">
      <c r="L20" s="2" t="s">
        <v>19</v>
      </c>
      <c r="M20" s="6">
        <f t="shared" ca="1" si="0"/>
        <v>81</v>
      </c>
      <c r="N20" s="6">
        <f t="shared" ca="1" si="1"/>
        <v>532</v>
      </c>
      <c r="O20" s="6">
        <f t="shared" ca="1" si="2"/>
        <v>84</v>
      </c>
      <c r="Y20" s="11">
        <v>600.94608503836639</v>
      </c>
      <c r="Z20" s="12">
        <v>292</v>
      </c>
    </row>
    <row r="21" spans="2:26">
      <c r="L21" s="2" t="s">
        <v>20</v>
      </c>
      <c r="M21" s="6">
        <f t="shared" ca="1" si="0"/>
        <v>121</v>
      </c>
      <c r="N21" s="6">
        <f t="shared" ca="1" si="1"/>
        <v>733</v>
      </c>
      <c r="O21" s="6">
        <f t="shared" ca="1" si="2"/>
        <v>40</v>
      </c>
      <c r="Y21" s="11">
        <v>864.76825567394997</v>
      </c>
      <c r="Z21" s="12">
        <v>431</v>
      </c>
    </row>
    <row r="22" spans="2:26">
      <c r="L22" s="2" t="s">
        <v>21</v>
      </c>
      <c r="M22" s="6">
        <f t="shared" ca="1" si="0"/>
        <v>460</v>
      </c>
      <c r="N22" s="6">
        <f t="shared" ca="1" si="1"/>
        <v>316</v>
      </c>
      <c r="O22" s="6">
        <f t="shared" ca="1" si="2"/>
        <v>118</v>
      </c>
      <c r="Y22" s="11">
        <v>803.20585492194107</v>
      </c>
      <c r="Z22" s="12">
        <v>426</v>
      </c>
    </row>
    <row r="23" spans="2:26">
      <c r="L23" s="2" t="s">
        <v>22</v>
      </c>
      <c r="M23" s="6">
        <f t="shared" ca="1" si="0"/>
        <v>51</v>
      </c>
      <c r="N23" s="6">
        <f t="shared" ca="1" si="1"/>
        <v>502</v>
      </c>
      <c r="O23" s="6">
        <f t="shared" ca="1" si="2"/>
        <v>33</v>
      </c>
      <c r="Y23" s="11">
        <v>803.9725571499132</v>
      </c>
      <c r="Z23" s="12">
        <v>385</v>
      </c>
    </row>
    <row r="24" spans="2:26">
      <c r="L24" s="2" t="s">
        <v>23</v>
      </c>
      <c r="M24" s="6">
        <f t="shared" ca="1" si="0"/>
        <v>228</v>
      </c>
      <c r="N24" s="6">
        <f t="shared" ca="1" si="1"/>
        <v>580</v>
      </c>
      <c r="O24" s="6">
        <f t="shared" ca="1" si="2"/>
        <v>123</v>
      </c>
      <c r="Y24" s="11">
        <v>947.76825567394997</v>
      </c>
      <c r="Z24" s="12">
        <v>441</v>
      </c>
    </row>
    <row r="25" spans="2:26">
      <c r="L25" s="2" t="s">
        <v>24</v>
      </c>
      <c r="M25" s="6">
        <f t="shared" ca="1" si="0"/>
        <v>73</v>
      </c>
      <c r="N25" s="6">
        <f t="shared" ca="1" si="1"/>
        <v>585</v>
      </c>
      <c r="O25" s="6">
        <f t="shared" ca="1" si="2"/>
        <v>89</v>
      </c>
      <c r="Y25" s="11">
        <v>532.94608503836639</v>
      </c>
      <c r="Z25" s="12">
        <v>236</v>
      </c>
    </row>
    <row r="26" spans="2:26">
      <c r="L26" s="2" t="s">
        <v>25</v>
      </c>
      <c r="M26" s="6">
        <f t="shared" ca="1" si="0"/>
        <v>277</v>
      </c>
      <c r="N26" s="6">
        <f t="shared" ca="1" si="1"/>
        <v>390</v>
      </c>
      <c r="O26" s="6">
        <f t="shared" ca="1" si="2"/>
        <v>164</v>
      </c>
      <c r="Y26" s="11">
        <v>359.9725571499132</v>
      </c>
      <c r="Z26" s="12">
        <v>154</v>
      </c>
    </row>
    <row r="27" spans="2:26">
      <c r="L27" s="2" t="s">
        <v>26</v>
      </c>
      <c r="M27" s="6">
        <f t="shared" ca="1" si="0"/>
        <v>274</v>
      </c>
      <c r="N27" s="6">
        <f t="shared" ca="1" si="1"/>
        <v>466</v>
      </c>
      <c r="O27" s="6">
        <f t="shared" ca="1" si="2"/>
        <v>108</v>
      </c>
      <c r="Y27" s="11">
        <v>833.20585492194107</v>
      </c>
      <c r="Z27" s="12">
        <v>439</v>
      </c>
    </row>
    <row r="28" spans="2:26">
      <c r="L28" s="2" t="s">
        <v>27</v>
      </c>
      <c r="M28" s="6">
        <f t="shared" ca="1" si="0"/>
        <v>195</v>
      </c>
      <c r="N28" s="6">
        <f t="shared" ca="1" si="1"/>
        <v>405</v>
      </c>
      <c r="O28" s="6">
        <f t="shared" ca="1" si="2"/>
        <v>85</v>
      </c>
      <c r="Y28" s="11">
        <v>401.9725571499132</v>
      </c>
      <c r="Z28" s="12">
        <v>154</v>
      </c>
    </row>
    <row r="29" spans="2:26">
      <c r="L29" s="2" t="s">
        <v>28</v>
      </c>
      <c r="M29" s="6">
        <f t="shared" ca="1" si="0"/>
        <v>280</v>
      </c>
      <c r="N29" s="6">
        <f t="shared" ca="1" si="1"/>
        <v>662</v>
      </c>
      <c r="O29" s="6">
        <f t="shared" ca="1" si="2"/>
        <v>103</v>
      </c>
      <c r="Y29" s="11">
        <v>903.9725571499132</v>
      </c>
      <c r="Z29" s="12">
        <v>387</v>
      </c>
    </row>
    <row r="30" spans="2:26">
      <c r="L30" s="2" t="s">
        <v>29</v>
      </c>
      <c r="M30" s="6">
        <f t="shared" ca="1" si="0"/>
        <v>54</v>
      </c>
      <c r="N30" s="6">
        <f t="shared" ca="1" si="1"/>
        <v>968</v>
      </c>
      <c r="O30" s="6">
        <f t="shared" ca="1" si="2"/>
        <v>58</v>
      </c>
      <c r="Y30" s="11">
        <v>674.20585492194107</v>
      </c>
      <c r="Z30" s="12">
        <v>319</v>
      </c>
    </row>
    <row r="31" spans="2:26">
      <c r="L31" s="2" t="s">
        <v>30</v>
      </c>
      <c r="M31" s="6">
        <f t="shared" ca="1" si="0"/>
        <v>92</v>
      </c>
      <c r="N31" s="6">
        <f t="shared" ca="1" si="1"/>
        <v>859</v>
      </c>
      <c r="O31" s="6">
        <f t="shared" ca="1" si="2"/>
        <v>110</v>
      </c>
      <c r="Y31" s="11">
        <v>315.94608503836639</v>
      </c>
      <c r="Z31" s="12">
        <v>137</v>
      </c>
    </row>
    <row r="32" spans="2:26">
      <c r="L32" s="2" t="s">
        <v>31</v>
      </c>
      <c r="M32" s="6">
        <f t="shared" ca="1" si="0"/>
        <v>186</v>
      </c>
      <c r="N32" s="6">
        <f t="shared" ca="1" si="1"/>
        <v>830</v>
      </c>
      <c r="O32" s="6">
        <f t="shared" ca="1" si="2"/>
        <v>107</v>
      </c>
      <c r="Y32" s="11">
        <v>730.94608503836639</v>
      </c>
      <c r="Z32" s="12">
        <v>329</v>
      </c>
    </row>
    <row r="33" spans="12:26">
      <c r="L33" s="2" t="s">
        <v>32</v>
      </c>
      <c r="M33" s="6">
        <f t="shared" ca="1" si="0"/>
        <v>229</v>
      </c>
      <c r="N33" s="6">
        <f t="shared" ca="1" si="1"/>
        <v>390</v>
      </c>
      <c r="O33" s="6">
        <f t="shared" ca="1" si="2"/>
        <v>190</v>
      </c>
      <c r="Y33" s="11">
        <v>913.9725571499132</v>
      </c>
      <c r="Z33" s="12">
        <v>432</v>
      </c>
    </row>
    <row r="34" spans="12:26">
      <c r="L34" s="2" t="s">
        <v>33</v>
      </c>
      <c r="M34" s="6">
        <f t="shared" ca="1" si="0"/>
        <v>114</v>
      </c>
      <c r="N34" s="6">
        <f t="shared" ca="1" si="1"/>
        <v>627</v>
      </c>
      <c r="O34" s="6">
        <f t="shared" ca="1" si="2"/>
        <v>139</v>
      </c>
      <c r="Y34" s="11">
        <v>354.20585492194107</v>
      </c>
      <c r="Z34" s="12">
        <v>187</v>
      </c>
    </row>
    <row r="35" spans="12:26">
      <c r="L35" s="2" t="s">
        <v>34</v>
      </c>
      <c r="M35" s="6">
        <f t="shared" ca="1" si="0"/>
        <v>131</v>
      </c>
      <c r="N35" s="6">
        <f t="shared" ca="1" si="1"/>
        <v>641</v>
      </c>
      <c r="O35" s="6">
        <f t="shared" ca="1" si="2"/>
        <v>124</v>
      </c>
      <c r="Y35" s="11">
        <v>330.76825567394997</v>
      </c>
      <c r="Z35" s="12">
        <v>136</v>
      </c>
    </row>
    <row r="36" spans="12:26">
      <c r="L36" s="2" t="s">
        <v>35</v>
      </c>
      <c r="M36" s="6">
        <f t="shared" ca="1" si="0"/>
        <v>300</v>
      </c>
      <c r="N36" s="6">
        <f t="shared" ca="1" si="1"/>
        <v>868</v>
      </c>
      <c r="O36" s="6">
        <f t="shared" ca="1" si="2"/>
        <v>20</v>
      </c>
      <c r="Y36" s="11">
        <v>194.94608503836636</v>
      </c>
      <c r="Z36" s="12">
        <v>142</v>
      </c>
    </row>
    <row r="37" spans="12:26">
      <c r="L37" s="2" t="s">
        <v>36</v>
      </c>
      <c r="M37" s="6">
        <f t="shared" ca="1" si="0"/>
        <v>324</v>
      </c>
      <c r="N37" s="6">
        <f t="shared" ca="1" si="1"/>
        <v>646</v>
      </c>
      <c r="O37" s="6">
        <f t="shared" ca="1" si="2"/>
        <v>17</v>
      </c>
      <c r="Y37" s="11">
        <v>537.20585492194107</v>
      </c>
      <c r="Z37" s="12">
        <v>282</v>
      </c>
    </row>
    <row r="38" spans="12:26">
      <c r="L38" s="2" t="s">
        <v>37</v>
      </c>
      <c r="M38" s="6">
        <f t="shared" ca="1" si="0"/>
        <v>151</v>
      </c>
      <c r="N38" s="6">
        <f t="shared" ca="1" si="1"/>
        <v>934</v>
      </c>
      <c r="O38" s="6">
        <f t="shared" ca="1" si="2"/>
        <v>173</v>
      </c>
      <c r="Y38" s="11">
        <v>531.94608503836639</v>
      </c>
      <c r="Z38" s="12">
        <v>241</v>
      </c>
    </row>
    <row r="39" spans="12:26">
      <c r="L39" s="2" t="s">
        <v>38</v>
      </c>
      <c r="M39" s="6">
        <f t="shared" ca="1" si="0"/>
        <v>497</v>
      </c>
      <c r="N39" s="6">
        <f t="shared" ca="1" si="1"/>
        <v>488</v>
      </c>
      <c r="O39" s="6">
        <f t="shared" ca="1" si="2"/>
        <v>135</v>
      </c>
      <c r="Y39" s="11">
        <v>335.76825567394997</v>
      </c>
      <c r="Z39" s="12">
        <v>181</v>
      </c>
    </row>
    <row r="40" spans="12:26">
      <c r="L40" s="2" t="s">
        <v>39</v>
      </c>
      <c r="M40" s="6">
        <f t="shared" ca="1" si="0"/>
        <v>385</v>
      </c>
      <c r="N40" s="6">
        <f t="shared" ca="1" si="1"/>
        <v>688</v>
      </c>
      <c r="O40" s="6">
        <f t="shared" ca="1" si="2"/>
        <v>150</v>
      </c>
      <c r="Y40" s="11">
        <v>865.20585492194107</v>
      </c>
      <c r="Z40" s="12">
        <v>429</v>
      </c>
    </row>
    <row r="41" spans="12:26">
      <c r="L41" s="2" t="s">
        <v>40</v>
      </c>
      <c r="M41" s="6">
        <f t="shared" ca="1" si="0"/>
        <v>138</v>
      </c>
      <c r="N41" s="6">
        <f t="shared" ca="1" si="1"/>
        <v>346</v>
      </c>
      <c r="O41" s="6">
        <f t="shared" ca="1" si="2"/>
        <v>167</v>
      </c>
      <c r="Y41" s="11">
        <v>429.94608503836639</v>
      </c>
      <c r="Z41" s="12">
        <v>175</v>
      </c>
    </row>
    <row r="42" spans="12:26">
      <c r="L42" s="2" t="s">
        <v>41</v>
      </c>
      <c r="M42" s="6">
        <f t="shared" ca="1" si="0"/>
        <v>462</v>
      </c>
      <c r="N42" s="6">
        <f t="shared" ca="1" si="1"/>
        <v>935</v>
      </c>
      <c r="O42" s="6">
        <f t="shared" ca="1" si="2"/>
        <v>171</v>
      </c>
      <c r="Y42" s="11">
        <v>740.9725571499132</v>
      </c>
      <c r="Z42" s="12">
        <v>376</v>
      </c>
    </row>
    <row r="43" spans="12:26">
      <c r="L43" s="2" t="s">
        <v>42</v>
      </c>
      <c r="M43" s="6">
        <f t="shared" ca="1" si="0"/>
        <v>475</v>
      </c>
      <c r="N43" s="6">
        <f t="shared" ca="1" si="1"/>
        <v>702</v>
      </c>
      <c r="O43" s="6">
        <f t="shared" ca="1" si="2"/>
        <v>196</v>
      </c>
      <c r="Y43" s="11">
        <v>303.94608503836639</v>
      </c>
      <c r="Z43" s="12">
        <v>165</v>
      </c>
    </row>
    <row r="44" spans="12:26">
      <c r="L44" s="2" t="s">
        <v>43</v>
      </c>
      <c r="M44" s="6">
        <f t="shared" ca="1" si="0"/>
        <v>196</v>
      </c>
      <c r="N44" s="6">
        <f t="shared" ca="1" si="1"/>
        <v>383</v>
      </c>
      <c r="O44" s="6">
        <f t="shared" ca="1" si="2"/>
        <v>86</v>
      </c>
      <c r="Y44" s="11">
        <v>200.97255714991323</v>
      </c>
      <c r="Z44" s="12">
        <v>95</v>
      </c>
    </row>
    <row r="45" spans="12:26">
      <c r="L45" s="2" t="s">
        <v>44</v>
      </c>
      <c r="M45" s="6">
        <f t="shared" ca="1" si="0"/>
        <v>497</v>
      </c>
      <c r="N45" s="6">
        <f t="shared" ca="1" si="1"/>
        <v>713</v>
      </c>
      <c r="O45" s="6">
        <f t="shared" ca="1" si="2"/>
        <v>163</v>
      </c>
      <c r="Y45" s="11">
        <v>771.85004357472712</v>
      </c>
      <c r="Z45" s="12">
        <v>342</v>
      </c>
    </row>
    <row r="46" spans="12:26">
      <c r="L46" s="2" t="s">
        <v>45</v>
      </c>
      <c r="M46" s="6">
        <f t="shared" ca="1" si="0"/>
        <v>409</v>
      </c>
      <c r="N46" s="6">
        <f t="shared" ca="1" si="1"/>
        <v>489</v>
      </c>
      <c r="O46" s="6">
        <f t="shared" ca="1" si="2"/>
        <v>82</v>
      </c>
      <c r="Y46" s="11">
        <v>422.85004357472712</v>
      </c>
      <c r="Z46" s="12">
        <v>166</v>
      </c>
    </row>
    <row r="47" spans="12:26">
      <c r="L47" s="2" t="s">
        <v>46</v>
      </c>
      <c r="M47" s="6">
        <f t="shared" ca="1" si="0"/>
        <v>346</v>
      </c>
      <c r="N47" s="6">
        <f t="shared" ca="1" si="1"/>
        <v>813</v>
      </c>
      <c r="O47" s="6">
        <f t="shared" ca="1" si="2"/>
        <v>125</v>
      </c>
      <c r="Y47" s="11">
        <v>709.76825567394997</v>
      </c>
      <c r="Z47" s="12">
        <v>341</v>
      </c>
    </row>
    <row r="48" spans="12:26">
      <c r="L48" s="2" t="s">
        <v>47</v>
      </c>
      <c r="M48" s="6">
        <f t="shared" ca="1" si="0"/>
        <v>426</v>
      </c>
      <c r="N48" s="6">
        <f t="shared" ca="1" si="1"/>
        <v>305</v>
      </c>
      <c r="O48" s="6">
        <f t="shared" ca="1" si="2"/>
        <v>151</v>
      </c>
      <c r="Y48" s="11">
        <v>783.20585492194107</v>
      </c>
      <c r="Z48" s="12">
        <v>378</v>
      </c>
    </row>
    <row r="49" spans="12:26">
      <c r="L49" s="2" t="s">
        <v>48</v>
      </c>
      <c r="M49" s="6">
        <f t="shared" ca="1" si="0"/>
        <v>365</v>
      </c>
      <c r="N49" s="6">
        <f t="shared" ca="1" si="1"/>
        <v>494</v>
      </c>
      <c r="O49" s="6">
        <f t="shared" ca="1" si="2"/>
        <v>63</v>
      </c>
      <c r="Y49" s="11">
        <v>684.76825567394997</v>
      </c>
      <c r="Z49" s="12">
        <v>311</v>
      </c>
    </row>
    <row r="50" spans="12:26">
      <c r="L50" s="2" t="s">
        <v>49</v>
      </c>
      <c r="M50" s="6">
        <f t="shared" ca="1" si="0"/>
        <v>78</v>
      </c>
      <c r="N50" s="6">
        <f t="shared" ca="1" si="1"/>
        <v>320</v>
      </c>
      <c r="O50" s="6">
        <f t="shared" ca="1" si="2"/>
        <v>29</v>
      </c>
      <c r="Y50" s="11">
        <v>614.20585492194107</v>
      </c>
      <c r="Z50" s="12">
        <v>326</v>
      </c>
    </row>
    <row r="51" spans="12:26">
      <c r="L51" s="2" t="s">
        <v>50</v>
      </c>
      <c r="M51" s="6">
        <f t="shared" ca="1" si="0"/>
        <v>285</v>
      </c>
      <c r="N51" s="6">
        <f t="shared" ca="1" si="1"/>
        <v>617</v>
      </c>
      <c r="O51" s="6">
        <f t="shared" ca="1" si="2"/>
        <v>73</v>
      </c>
      <c r="Y51" s="11">
        <v>674.85004357472712</v>
      </c>
      <c r="Z51" s="12">
        <v>299</v>
      </c>
    </row>
    <row r="52" spans="12:26">
      <c r="L52" s="2" t="s">
        <v>51</v>
      </c>
      <c r="M52" s="6">
        <f t="shared" ca="1" si="0"/>
        <v>468</v>
      </c>
      <c r="N52" s="6">
        <f t="shared" ca="1" si="1"/>
        <v>517</v>
      </c>
      <c r="O52" s="6">
        <f t="shared" ca="1" si="2"/>
        <v>146</v>
      </c>
      <c r="Y52" s="11">
        <v>877.76825567394997</v>
      </c>
      <c r="Z52" s="12">
        <v>450</v>
      </c>
    </row>
    <row r="53" spans="12:26">
      <c r="L53" s="2" t="s">
        <v>52</v>
      </c>
      <c r="M53" s="6">
        <f t="shared" ca="1" si="0"/>
        <v>451</v>
      </c>
      <c r="N53" s="6">
        <f t="shared" ca="1" si="1"/>
        <v>516</v>
      </c>
      <c r="O53" s="6">
        <f t="shared" ca="1" si="2"/>
        <v>58</v>
      </c>
      <c r="Y53" s="11">
        <v>578.85004357472712</v>
      </c>
      <c r="Z53" s="12">
        <v>276</v>
      </c>
    </row>
    <row r="54" spans="12:26">
      <c r="L54" s="2" t="s">
        <v>53</v>
      </c>
      <c r="M54" s="6">
        <f t="shared" ca="1" si="0"/>
        <v>141</v>
      </c>
      <c r="N54" s="6">
        <f t="shared" ca="1" si="1"/>
        <v>580</v>
      </c>
      <c r="O54" s="6">
        <f t="shared" ca="1" si="2"/>
        <v>60</v>
      </c>
      <c r="Y54" s="11">
        <v>98.946085038366363</v>
      </c>
      <c r="Z54" s="12">
        <v>37</v>
      </c>
    </row>
    <row r="55" spans="12:26">
      <c r="L55" s="2" t="s">
        <v>54</v>
      </c>
      <c r="M55" s="6">
        <f t="shared" ca="1" si="0"/>
        <v>408</v>
      </c>
      <c r="N55" s="6">
        <f t="shared" ca="1" si="1"/>
        <v>660</v>
      </c>
      <c r="O55" s="6">
        <f t="shared" ca="1" si="2"/>
        <v>18</v>
      </c>
      <c r="Y55" s="11">
        <v>50.205854921941096</v>
      </c>
      <c r="Z55" s="12">
        <v>55</v>
      </c>
    </row>
    <row r="56" spans="12:26">
      <c r="L56" s="2" t="s">
        <v>55</v>
      </c>
      <c r="M56" s="6">
        <f t="shared" ca="1" si="0"/>
        <v>359</v>
      </c>
      <c r="N56" s="6">
        <f t="shared" ca="1" si="1"/>
        <v>322</v>
      </c>
      <c r="O56" s="6">
        <f t="shared" ca="1" si="2"/>
        <v>53</v>
      </c>
      <c r="Y56" s="11">
        <v>759.9725571499132</v>
      </c>
      <c r="Z56" s="12">
        <v>356</v>
      </c>
    </row>
    <row r="57" spans="12:26">
      <c r="L57" s="2" t="s">
        <v>56</v>
      </c>
      <c r="M57" s="6">
        <f t="shared" ca="1" si="0"/>
        <v>259</v>
      </c>
      <c r="N57" s="6">
        <f t="shared" ca="1" si="1"/>
        <v>946</v>
      </c>
      <c r="O57" s="6">
        <f t="shared" ca="1" si="2"/>
        <v>47</v>
      </c>
      <c r="Y57" s="11">
        <v>874.94608503836639</v>
      </c>
      <c r="Z57" s="12">
        <v>404</v>
      </c>
    </row>
    <row r="58" spans="12:26">
      <c r="L58" s="2" t="s">
        <v>57</v>
      </c>
      <c r="M58" s="6">
        <f t="shared" ca="1" si="0"/>
        <v>161</v>
      </c>
      <c r="N58" s="6">
        <f t="shared" ca="1" si="1"/>
        <v>462</v>
      </c>
      <c r="O58" s="6">
        <f t="shared" ca="1" si="2"/>
        <v>23</v>
      </c>
      <c r="Y58" s="11">
        <v>106.2058549219411</v>
      </c>
      <c r="Z58" s="12">
        <v>45</v>
      </c>
    </row>
    <row r="59" spans="12:26">
      <c r="L59" s="2" t="s">
        <v>58</v>
      </c>
      <c r="M59" s="6">
        <f t="shared" ca="1" si="0"/>
        <v>179</v>
      </c>
      <c r="N59" s="6">
        <f t="shared" ca="1" si="1"/>
        <v>981</v>
      </c>
      <c r="O59" s="6">
        <f t="shared" ca="1" si="2"/>
        <v>142</v>
      </c>
      <c r="Y59" s="11">
        <v>336.85004357472712</v>
      </c>
      <c r="Z59" s="12">
        <v>153</v>
      </c>
    </row>
    <row r="60" spans="12:26">
      <c r="L60" s="2" t="s">
        <v>59</v>
      </c>
      <c r="M60" s="6">
        <f t="shared" ca="1" si="0"/>
        <v>300</v>
      </c>
      <c r="N60" s="6">
        <f t="shared" ca="1" si="1"/>
        <v>344</v>
      </c>
      <c r="O60" s="6">
        <f t="shared" ca="1" si="2"/>
        <v>71</v>
      </c>
    </row>
    <row r="61" spans="12:26">
      <c r="L61" s="2" t="s">
        <v>60</v>
      </c>
      <c r="M61" s="6">
        <f t="shared" ca="1" si="0"/>
        <v>73</v>
      </c>
      <c r="N61" s="6">
        <f t="shared" ca="1" si="1"/>
        <v>594</v>
      </c>
      <c r="O61" s="6">
        <f t="shared" ca="1" si="2"/>
        <v>22</v>
      </c>
    </row>
    <row r="62" spans="12:26">
      <c r="L62" s="2" t="s">
        <v>61</v>
      </c>
      <c r="M62" s="6">
        <f t="shared" ca="1" si="0"/>
        <v>172</v>
      </c>
      <c r="N62" s="6">
        <f t="shared" ca="1" si="1"/>
        <v>668</v>
      </c>
      <c r="O62" s="6">
        <f t="shared" ca="1" si="2"/>
        <v>68</v>
      </c>
    </row>
    <row r="63" spans="12:26">
      <c r="L63" s="2" t="s">
        <v>62</v>
      </c>
      <c r="M63" s="6">
        <f t="shared" ca="1" si="0"/>
        <v>236</v>
      </c>
      <c r="N63" s="6">
        <f t="shared" ca="1" si="1"/>
        <v>460</v>
      </c>
      <c r="O63" s="6">
        <f t="shared" ca="1" si="2"/>
        <v>130</v>
      </c>
    </row>
    <row r="64" spans="12:26">
      <c r="L64" s="2" t="s">
        <v>63</v>
      </c>
      <c r="M64" s="6">
        <f t="shared" ca="1" si="0"/>
        <v>57</v>
      </c>
      <c r="N64" s="6">
        <f t="shared" ca="1" si="1"/>
        <v>865</v>
      </c>
      <c r="O64" s="6">
        <f t="shared" ca="1" si="2"/>
        <v>56</v>
      </c>
    </row>
    <row r="65" spans="12:15">
      <c r="L65" s="2" t="s">
        <v>64</v>
      </c>
      <c r="M65" s="6">
        <f t="shared" ca="1" si="0"/>
        <v>138</v>
      </c>
      <c r="N65" s="6">
        <f t="shared" ca="1" si="1"/>
        <v>381</v>
      </c>
      <c r="O65" s="6">
        <f t="shared" ca="1" si="2"/>
        <v>169</v>
      </c>
    </row>
    <row r="66" spans="12:15">
      <c r="L66" s="2" t="s">
        <v>65</v>
      </c>
      <c r="M66" s="6">
        <f t="shared" ca="1" si="0"/>
        <v>175</v>
      </c>
      <c r="N66" s="6">
        <f t="shared" ca="1" si="1"/>
        <v>399</v>
      </c>
      <c r="O66" s="6">
        <f t="shared" ca="1" si="2"/>
        <v>190</v>
      </c>
    </row>
    <row r="67" spans="12:15">
      <c r="L67" s="2" t="s">
        <v>66</v>
      </c>
      <c r="M67" s="6">
        <f t="shared" ref="M67:M99" ca="1" si="5">RANDBETWEEN(50,500)</f>
        <v>316</v>
      </c>
      <c r="N67" s="6">
        <f t="shared" ref="N67:N99" ca="1" si="6">RANDBETWEEN(300,1000)</f>
        <v>338</v>
      </c>
      <c r="O67" s="6">
        <f t="shared" ref="O67:O99" ca="1" si="7">RANDBETWEEN(10,200)</f>
        <v>36</v>
      </c>
    </row>
    <row r="68" spans="12:15">
      <c r="L68" s="2" t="s">
        <v>67</v>
      </c>
      <c r="M68" s="6">
        <f t="shared" ca="1" si="5"/>
        <v>260</v>
      </c>
      <c r="N68" s="6">
        <f t="shared" ca="1" si="6"/>
        <v>735</v>
      </c>
      <c r="O68" s="6">
        <f t="shared" ca="1" si="7"/>
        <v>153</v>
      </c>
    </row>
    <row r="69" spans="12:15">
      <c r="L69" s="2" t="s">
        <v>68</v>
      </c>
      <c r="M69" s="6">
        <f t="shared" ca="1" si="5"/>
        <v>176</v>
      </c>
      <c r="N69" s="6">
        <f t="shared" ca="1" si="6"/>
        <v>778</v>
      </c>
      <c r="O69" s="6">
        <f t="shared" ca="1" si="7"/>
        <v>83</v>
      </c>
    </row>
    <row r="70" spans="12:15">
      <c r="L70" s="2" t="s">
        <v>69</v>
      </c>
      <c r="M70" s="6">
        <f t="shared" ca="1" si="5"/>
        <v>236</v>
      </c>
      <c r="N70" s="6">
        <f t="shared" ca="1" si="6"/>
        <v>878</v>
      </c>
      <c r="O70" s="6">
        <f t="shared" ca="1" si="7"/>
        <v>112</v>
      </c>
    </row>
    <row r="71" spans="12:15">
      <c r="L71" s="2" t="s">
        <v>70</v>
      </c>
      <c r="M71" s="6">
        <f t="shared" ca="1" si="5"/>
        <v>247</v>
      </c>
      <c r="N71" s="6">
        <f t="shared" ca="1" si="6"/>
        <v>414</v>
      </c>
      <c r="O71" s="6">
        <f t="shared" ca="1" si="7"/>
        <v>120</v>
      </c>
    </row>
    <row r="72" spans="12:15">
      <c r="L72" s="2" t="s">
        <v>71</v>
      </c>
      <c r="M72" s="6">
        <f t="shared" ca="1" si="5"/>
        <v>432</v>
      </c>
      <c r="N72" s="6">
        <f t="shared" ca="1" si="6"/>
        <v>432</v>
      </c>
      <c r="O72" s="6">
        <f t="shared" ca="1" si="7"/>
        <v>168</v>
      </c>
    </row>
    <row r="73" spans="12:15">
      <c r="L73" s="2" t="s">
        <v>72</v>
      </c>
      <c r="M73" s="6">
        <f t="shared" ca="1" si="5"/>
        <v>328</v>
      </c>
      <c r="N73" s="6">
        <f t="shared" ca="1" si="6"/>
        <v>784</v>
      </c>
      <c r="O73" s="6">
        <f t="shared" ca="1" si="7"/>
        <v>64</v>
      </c>
    </row>
    <row r="74" spans="12:15">
      <c r="L74" s="2" t="s">
        <v>73</v>
      </c>
      <c r="M74" s="6">
        <f t="shared" ca="1" si="5"/>
        <v>491</v>
      </c>
      <c r="N74" s="6">
        <f t="shared" ca="1" si="6"/>
        <v>922</v>
      </c>
      <c r="O74" s="6">
        <f t="shared" ca="1" si="7"/>
        <v>145</v>
      </c>
    </row>
    <row r="75" spans="12:15">
      <c r="L75" s="2" t="s">
        <v>74</v>
      </c>
      <c r="M75" s="6">
        <f t="shared" ca="1" si="5"/>
        <v>286</v>
      </c>
      <c r="N75" s="6">
        <f t="shared" ca="1" si="6"/>
        <v>396</v>
      </c>
      <c r="O75" s="6">
        <f t="shared" ca="1" si="7"/>
        <v>185</v>
      </c>
    </row>
    <row r="76" spans="12:15">
      <c r="L76" s="2" t="s">
        <v>75</v>
      </c>
      <c r="M76" s="6">
        <f t="shared" ca="1" si="5"/>
        <v>97</v>
      </c>
      <c r="N76" s="6">
        <f t="shared" ca="1" si="6"/>
        <v>939</v>
      </c>
      <c r="O76" s="6">
        <f t="shared" ca="1" si="7"/>
        <v>153</v>
      </c>
    </row>
    <row r="77" spans="12:15">
      <c r="L77" s="2" t="s">
        <v>76</v>
      </c>
      <c r="M77" s="6">
        <f t="shared" ca="1" si="5"/>
        <v>330</v>
      </c>
      <c r="N77" s="6">
        <f t="shared" ca="1" si="6"/>
        <v>572</v>
      </c>
      <c r="O77" s="6">
        <f t="shared" ca="1" si="7"/>
        <v>140</v>
      </c>
    </row>
    <row r="78" spans="12:15">
      <c r="L78" s="2" t="s">
        <v>77</v>
      </c>
      <c r="M78" s="6">
        <f t="shared" ca="1" si="5"/>
        <v>281</v>
      </c>
      <c r="N78" s="6">
        <f t="shared" ca="1" si="6"/>
        <v>822</v>
      </c>
      <c r="O78" s="6">
        <f t="shared" ca="1" si="7"/>
        <v>43</v>
      </c>
    </row>
    <row r="79" spans="12:15">
      <c r="L79" s="2" t="s">
        <v>78</v>
      </c>
      <c r="M79" s="6">
        <f t="shared" ca="1" si="5"/>
        <v>426</v>
      </c>
      <c r="N79" s="6">
        <f t="shared" ca="1" si="6"/>
        <v>920</v>
      </c>
      <c r="O79" s="6">
        <f t="shared" ca="1" si="7"/>
        <v>75</v>
      </c>
    </row>
    <row r="80" spans="12:15">
      <c r="L80" s="2" t="s">
        <v>79</v>
      </c>
      <c r="M80" s="6">
        <f t="shared" ca="1" si="5"/>
        <v>301</v>
      </c>
      <c r="N80" s="6">
        <f t="shared" ca="1" si="6"/>
        <v>930</v>
      </c>
      <c r="O80" s="6">
        <f t="shared" ca="1" si="7"/>
        <v>79</v>
      </c>
    </row>
    <row r="81" spans="12:15">
      <c r="L81" s="2" t="s">
        <v>80</v>
      </c>
      <c r="M81" s="6">
        <f t="shared" ca="1" si="5"/>
        <v>212</v>
      </c>
      <c r="N81" s="6">
        <f t="shared" ca="1" si="6"/>
        <v>746</v>
      </c>
      <c r="O81" s="6">
        <f t="shared" ca="1" si="7"/>
        <v>94</v>
      </c>
    </row>
    <row r="82" spans="12:15">
      <c r="L82" s="2" t="s">
        <v>81</v>
      </c>
      <c r="M82" s="6">
        <f t="shared" ca="1" si="5"/>
        <v>282</v>
      </c>
      <c r="N82" s="6">
        <f t="shared" ca="1" si="6"/>
        <v>348</v>
      </c>
      <c r="O82" s="6">
        <f t="shared" ca="1" si="7"/>
        <v>10</v>
      </c>
    </row>
    <row r="83" spans="12:15">
      <c r="L83" s="2" t="s">
        <v>82</v>
      </c>
      <c r="M83" s="6">
        <f t="shared" ca="1" si="5"/>
        <v>119</v>
      </c>
      <c r="N83" s="6">
        <f t="shared" ca="1" si="6"/>
        <v>988</v>
      </c>
      <c r="O83" s="6">
        <f t="shared" ca="1" si="7"/>
        <v>18</v>
      </c>
    </row>
    <row r="84" spans="12:15">
      <c r="L84" s="2" t="s">
        <v>83</v>
      </c>
      <c r="M84" s="6">
        <f t="shared" ca="1" si="5"/>
        <v>304</v>
      </c>
      <c r="N84" s="6">
        <f t="shared" ca="1" si="6"/>
        <v>498</v>
      </c>
      <c r="O84" s="6">
        <f t="shared" ca="1" si="7"/>
        <v>136</v>
      </c>
    </row>
    <row r="85" spans="12:15">
      <c r="L85" s="2" t="s">
        <v>84</v>
      </c>
      <c r="M85" s="6">
        <f t="shared" ca="1" si="5"/>
        <v>365</v>
      </c>
      <c r="N85" s="6">
        <f t="shared" ca="1" si="6"/>
        <v>516</v>
      </c>
      <c r="O85" s="6">
        <f t="shared" ca="1" si="7"/>
        <v>169</v>
      </c>
    </row>
    <row r="86" spans="12:15">
      <c r="L86" s="2" t="s">
        <v>85</v>
      </c>
      <c r="M86" s="6">
        <f t="shared" ca="1" si="5"/>
        <v>276</v>
      </c>
      <c r="N86" s="6">
        <f t="shared" ca="1" si="6"/>
        <v>322</v>
      </c>
      <c r="O86" s="6">
        <f t="shared" ca="1" si="7"/>
        <v>122</v>
      </c>
    </row>
    <row r="87" spans="12:15">
      <c r="L87" s="2" t="s">
        <v>86</v>
      </c>
      <c r="M87" s="6">
        <f t="shared" ca="1" si="5"/>
        <v>415</v>
      </c>
      <c r="N87" s="6">
        <f t="shared" ca="1" si="6"/>
        <v>986</v>
      </c>
      <c r="O87" s="6">
        <f t="shared" ca="1" si="7"/>
        <v>50</v>
      </c>
    </row>
    <row r="88" spans="12:15">
      <c r="L88" s="2" t="s">
        <v>87</v>
      </c>
      <c r="M88" s="6">
        <f t="shared" ca="1" si="5"/>
        <v>155</v>
      </c>
      <c r="N88" s="6">
        <f t="shared" ca="1" si="6"/>
        <v>359</v>
      </c>
      <c r="O88" s="6">
        <f t="shared" ca="1" si="7"/>
        <v>51</v>
      </c>
    </row>
    <row r="89" spans="12:15">
      <c r="L89" s="2" t="s">
        <v>88</v>
      </c>
      <c r="M89" s="6">
        <f t="shared" ca="1" si="5"/>
        <v>413</v>
      </c>
      <c r="N89" s="6">
        <f t="shared" ca="1" si="6"/>
        <v>367</v>
      </c>
      <c r="O89" s="6">
        <f t="shared" ca="1" si="7"/>
        <v>176</v>
      </c>
    </row>
    <row r="90" spans="12:15">
      <c r="L90" s="2" t="s">
        <v>89</v>
      </c>
      <c r="M90" s="6">
        <f t="shared" ca="1" si="5"/>
        <v>296</v>
      </c>
      <c r="N90" s="6">
        <f t="shared" ca="1" si="6"/>
        <v>872</v>
      </c>
      <c r="O90" s="6">
        <f t="shared" ca="1" si="7"/>
        <v>128</v>
      </c>
    </row>
    <row r="91" spans="12:15">
      <c r="L91" s="2" t="s">
        <v>90</v>
      </c>
      <c r="M91" s="6">
        <f t="shared" ca="1" si="5"/>
        <v>253</v>
      </c>
      <c r="N91" s="6">
        <f t="shared" ca="1" si="6"/>
        <v>604</v>
      </c>
      <c r="O91" s="6">
        <f t="shared" ca="1" si="7"/>
        <v>57</v>
      </c>
    </row>
    <row r="92" spans="12:15">
      <c r="L92" s="2" t="s">
        <v>91</v>
      </c>
      <c r="M92" s="6">
        <f t="shared" ca="1" si="5"/>
        <v>177</v>
      </c>
      <c r="N92" s="6">
        <f t="shared" ca="1" si="6"/>
        <v>585</v>
      </c>
      <c r="O92" s="6">
        <f t="shared" ca="1" si="7"/>
        <v>75</v>
      </c>
    </row>
    <row r="93" spans="12:15">
      <c r="L93" s="2" t="s">
        <v>92</v>
      </c>
      <c r="M93" s="6">
        <f t="shared" ca="1" si="5"/>
        <v>143</v>
      </c>
      <c r="N93" s="6">
        <f t="shared" ca="1" si="6"/>
        <v>980</v>
      </c>
      <c r="O93" s="6">
        <f t="shared" ca="1" si="7"/>
        <v>100</v>
      </c>
    </row>
    <row r="94" spans="12:15">
      <c r="L94" s="2" t="s">
        <v>93</v>
      </c>
      <c r="M94" s="6">
        <f t="shared" ca="1" si="5"/>
        <v>192</v>
      </c>
      <c r="N94" s="6">
        <f t="shared" ca="1" si="6"/>
        <v>455</v>
      </c>
      <c r="O94" s="6">
        <f t="shared" ca="1" si="7"/>
        <v>154</v>
      </c>
    </row>
    <row r="95" spans="12:15">
      <c r="L95" s="2" t="s">
        <v>94</v>
      </c>
      <c r="M95" s="6">
        <f t="shared" ca="1" si="5"/>
        <v>236</v>
      </c>
      <c r="N95" s="6">
        <f t="shared" ca="1" si="6"/>
        <v>652</v>
      </c>
      <c r="O95" s="6">
        <f t="shared" ca="1" si="7"/>
        <v>152</v>
      </c>
    </row>
    <row r="96" spans="12:15">
      <c r="L96" s="2" t="s">
        <v>95</v>
      </c>
      <c r="M96" s="6">
        <f t="shared" ca="1" si="5"/>
        <v>424</v>
      </c>
      <c r="N96" s="6">
        <f t="shared" ca="1" si="6"/>
        <v>768</v>
      </c>
      <c r="O96" s="6">
        <f t="shared" ca="1" si="7"/>
        <v>86</v>
      </c>
    </row>
    <row r="97" spans="12:15">
      <c r="L97" s="2" t="s">
        <v>96</v>
      </c>
      <c r="M97" s="6">
        <f t="shared" ca="1" si="5"/>
        <v>99</v>
      </c>
      <c r="N97" s="6">
        <f t="shared" ca="1" si="6"/>
        <v>332</v>
      </c>
      <c r="O97" s="6">
        <f t="shared" ca="1" si="7"/>
        <v>62</v>
      </c>
    </row>
    <row r="98" spans="12:15">
      <c r="L98" s="2" t="s">
        <v>97</v>
      </c>
      <c r="M98" s="6">
        <f t="shared" ca="1" si="5"/>
        <v>403</v>
      </c>
      <c r="N98" s="6">
        <f t="shared" ca="1" si="6"/>
        <v>770</v>
      </c>
      <c r="O98" s="6">
        <f t="shared" ca="1" si="7"/>
        <v>14</v>
      </c>
    </row>
    <row r="99" spans="12:15">
      <c r="L99" s="2" t="s">
        <v>98</v>
      </c>
      <c r="M99" s="6">
        <f t="shared" ca="1" si="5"/>
        <v>221</v>
      </c>
      <c r="N99" s="6">
        <f t="shared" ca="1" si="6"/>
        <v>456</v>
      </c>
      <c r="O99" s="6">
        <f t="shared" ca="1" si="7"/>
        <v>23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关系图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 lynne</dc:creator>
  <cp:lastModifiedBy>liu lynne</cp:lastModifiedBy>
  <dcterms:created xsi:type="dcterms:W3CDTF">2024-10-31T02:05:16Z</dcterms:created>
  <dcterms:modified xsi:type="dcterms:W3CDTF">2024-10-31T08:05:14Z</dcterms:modified>
</cp:coreProperties>
</file>