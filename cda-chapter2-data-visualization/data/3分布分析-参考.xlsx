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nne/Desktop/CDA1/2业务数据分析/3、由基础思维范式引申出的分析方法/3、由基础思维范式引申出的分析方法-有答案/"/>
    </mc:Choice>
  </mc:AlternateContent>
  <xr:revisionPtr revIDLastSave="0" documentId="13_ncr:1_{A56B2EDC-C8CE-034F-8104-C0B7D285F7E1}" xr6:coauthVersionLast="47" xr6:coauthVersionMax="47" xr10:uidLastSave="{00000000-0000-0000-0000-000000000000}"/>
  <bookViews>
    <workbookView xWindow="560" yWindow="580" windowWidth="28240" windowHeight="16100" xr2:uid="{40019274-66C7-464F-9FFA-7FCD530AF90A}"/>
  </bookViews>
  <sheets>
    <sheet name="分布分析" sheetId="4" r:id="rId1"/>
  </sheets>
  <definedNames>
    <definedName name="_xlnm._FilterDatabase" localSheetId="0" hidden="1">分布分析!$L$161:$L$304</definedName>
    <definedName name="_xlchart.v1.0" hidden="1">分布分析!$L$1</definedName>
    <definedName name="_xlchart.v1.1" hidden="1">分布分析!$L$2:$L$495</definedName>
    <definedName name="_xlchart.v1.2" hidden="1">分布分析!$B$3:$B$50</definedName>
    <definedName name="_xlchart.v1.3" hidden="1">分布分析!$C$2</definedName>
    <definedName name="_xlchart.v1.4" hidden="1">分布分析!$C$3:$C$50</definedName>
    <definedName name="_xlchart.v1.5" hidden="1">分布分析!$U$1</definedName>
    <definedName name="_xlchart.v1.6" hidden="1">分布分析!$U$2:$U$495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" i="4" l="1"/>
  <c r="W7" i="4"/>
  <c r="W6" i="4"/>
  <c r="W5" i="4"/>
  <c r="W3" i="4"/>
  <c r="W2" i="4"/>
  <c r="W4" i="4"/>
  <c r="W1" i="4"/>
</calcChain>
</file>

<file path=xl/sharedStrings.xml><?xml version="1.0" encoding="utf-8"?>
<sst xmlns="http://schemas.openxmlformats.org/spreadsheetml/2006/main" count="694" uniqueCount="354">
  <si>
    <t>时点</t>
    <phoneticPr fontId="1" type="noConversion"/>
  </si>
  <si>
    <t>门店客流量</t>
    <phoneticPr fontId="1" type="noConversion"/>
  </si>
  <si>
    <t>年龄</t>
    <phoneticPr fontId="1" type="noConversion"/>
  </si>
  <si>
    <t>下单人数</t>
    <phoneticPr fontId="1" type="noConversion"/>
  </si>
  <si>
    <t>用户 id</t>
    <phoneticPr fontId="1" type="noConversion"/>
  </si>
  <si>
    <t>id1</t>
    <phoneticPr fontId="1" type="noConversion"/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</si>
  <si>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</si>
  <si>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</si>
  <si>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</si>
  <si>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</si>
  <si>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</si>
  <si>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</si>
  <si>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</si>
  <si>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</si>
  <si>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</si>
  <si>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</si>
  <si>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</si>
  <si>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</si>
  <si>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</si>
  <si>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</si>
  <si>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</si>
  <si>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</si>
  <si>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</si>
  <si>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</si>
  <si>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</si>
  <si>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</si>
  <si>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</si>
  <si>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</si>
  <si>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</si>
  <si>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</si>
  <si>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</si>
  <si>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</si>
  <si>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</si>
  <si>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</si>
  <si>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</si>
  <si>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</si>
  <si>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</si>
  <si>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</si>
  <si>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</si>
  <si>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</si>
  <si>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</si>
  <si>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</si>
  <si>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</si>
  <si>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</si>
  <si>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</si>
  <si>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</si>
  <si>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</si>
  <si>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</si>
  <si>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</si>
  <si>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</si>
  <si>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</si>
  <si>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</si>
  <si>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</si>
  <si>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</si>
  <si>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</si>
  <si>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</si>
  <si>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</si>
  <si>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</si>
  <si>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</si>
  <si>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</si>
  <si>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</si>
  <si>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</si>
  <si>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</si>
  <si>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</si>
  <si>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</si>
  <si>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</si>
  <si>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</si>
  <si>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</si>
  <si>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</si>
  <si>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</si>
  <si>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</si>
  <si>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</si>
  <si>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</si>
  <si>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</si>
  <si>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</si>
  <si>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</si>
  <si>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</si>
  <si>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</si>
  <si>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</si>
  <si>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</si>
  <si>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</si>
  <si>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</si>
  <si>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</si>
  <si>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</si>
  <si>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</si>
  <si>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</si>
  <si>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</si>
  <si>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</si>
  <si>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</si>
  <si>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</si>
  <si>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</si>
  <si>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</si>
  <si>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</si>
  <si>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</si>
  <si>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</si>
  <si>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</si>
  <si>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</si>
  <si>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</si>
  <si>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</si>
  <si>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</si>
  <si>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</si>
  <si>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</si>
  <si>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</si>
  <si>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</si>
  <si>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</si>
  <si>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</si>
  <si>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</si>
  <si>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</si>
  <si>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</si>
  <si>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</si>
  <si>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</si>
  <si>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</si>
  <si>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</si>
  <si>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</si>
  <si>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</si>
  <si>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</si>
  <si>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</si>
  <si>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</si>
  <si>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</si>
  <si>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</si>
  <si>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</si>
  <si>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</si>
  <si>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</si>
  <si>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</si>
  <si>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</si>
  <si>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</si>
  <si>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</si>
  <si>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</si>
  <si>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</si>
  <si>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</si>
  <si>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</si>
  <si>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</si>
  <si>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</si>
  <si>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</si>
  <si>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</si>
  <si>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</si>
  <si>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</si>
  <si>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</si>
  <si>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</si>
  <si>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</si>
  <si>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</si>
  <si>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</si>
  <si>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</si>
  <si>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</si>
  <si>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</si>
  <si>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</si>
  <si>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</si>
  <si>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</si>
  <si>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</si>
  <si>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</si>
  <si>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</si>
  <si>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</si>
  <si>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</si>
  <si>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</si>
  <si>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</si>
  <si>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</si>
  <si>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</si>
  <si>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</si>
  <si>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</si>
  <si>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</si>
  <si>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</si>
  <si>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</si>
  <si>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</si>
  <si>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</si>
  <si>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</si>
  <si>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</si>
  <si>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</si>
  <si>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</si>
  <si>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</si>
  <si>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</si>
  <si>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</si>
  <si>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</si>
  <si>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</si>
  <si>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</si>
  <si>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</si>
  <si>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</si>
  <si>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</si>
  <si>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</si>
  <si>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</si>
  <si>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</si>
  <si>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</si>
  <si>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</si>
  <si>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</si>
  <si>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</si>
  <si>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</si>
  <si>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</si>
  <si>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</si>
  <si>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</si>
  <si>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</si>
  <si>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</si>
  <si>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</si>
  <si>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</si>
  <si>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</si>
  <si>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</si>
  <si>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</si>
  <si>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</si>
  <si>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</si>
  <si>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</si>
  <si>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</si>
  <si>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</si>
  <si>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</si>
  <si>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</si>
  <si>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</si>
  <si>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</si>
  <si>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</si>
  <si>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</si>
  <si>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</si>
  <si>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</si>
  <si>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</si>
  <si>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</si>
  <si>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</si>
  <si>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</si>
  <si>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</si>
  <si>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</si>
  <si>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</si>
  <si>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</si>
  <si>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</si>
  <si>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</si>
  <si>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</si>
  <si>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</si>
  <si>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</si>
  <si>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</si>
  <si>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</si>
  <si>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</si>
  <si>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</si>
  <si>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</si>
  <si>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</si>
  <si>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</si>
  <si>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</si>
  <si>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</si>
  <si>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</si>
  <si>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</si>
  <si>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</si>
  <si>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</si>
  <si>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</si>
  <si>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</si>
  <si>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</si>
  <si>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</si>
  <si>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</si>
  <si>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</si>
  <si>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</si>
  <si>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</si>
  <si>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</si>
  <si>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</si>
  <si>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</si>
  <si>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</si>
  <si>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</si>
  <si>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</si>
  <si>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</si>
  <si>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</si>
  <si>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</si>
  <si>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</si>
  <si>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</si>
  <si>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</si>
  <si>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</si>
  <si>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</si>
  <si>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</si>
  <si>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</si>
  <si>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</si>
  <si>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</si>
  <si>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</si>
  <si>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</si>
  <si>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</si>
  <si>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</si>
  <si>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</si>
  <si>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</si>
  <si>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</si>
  <si>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</si>
  <si>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</si>
  <si>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</si>
  <si>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</si>
  <si>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</si>
  <si>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</si>
  <si>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</si>
  <si>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</si>
  <si>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</si>
  <si>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</si>
  <si>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</si>
  <si>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</si>
  <si>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</si>
  <si>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</si>
  <si>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</si>
  <si>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</si>
  <si>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</si>
  <si>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</si>
  <si>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</si>
  <si>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</si>
  <si>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</si>
  <si>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</si>
  <si>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</si>
  <si>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</si>
  <si>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</si>
  <si>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</si>
  <si>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</si>
  <si>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</si>
  <si>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</si>
  <si>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</si>
  <si>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</si>
  <si>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</si>
  <si>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</si>
  <si>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</si>
  <si>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</si>
  <si>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</si>
  <si>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</si>
  <si>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</si>
  <si>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</si>
  <si>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</si>
  <si>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</si>
  <si>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</si>
  <si>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</si>
  <si>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</si>
  <si>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</si>
  <si>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</si>
  <si>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</si>
  <si>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</si>
  <si>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</si>
  <si>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</si>
  <si>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</si>
  <si>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</si>
  <si>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</si>
  <si>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</si>
  <si>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</si>
  <si>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</si>
  <si>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</si>
  <si>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</si>
  <si>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</si>
  <si>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</si>
  <si>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</si>
  <si>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</si>
  <si>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</si>
  <si>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</si>
  <si>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</si>
  <si>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</si>
  <si>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</si>
  <si>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</si>
  <si>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</si>
  <si>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</si>
  <si>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</si>
  <si>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</si>
  <si>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</si>
  <si>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</si>
  <si>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</si>
  <si>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</si>
  <si>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客单价</t>
    <phoneticPr fontId="1" type="noConversion"/>
  </si>
  <si>
    <t>均值</t>
    <phoneticPr fontId="1" type="noConversion"/>
  </si>
  <si>
    <t>中位数</t>
    <phoneticPr fontId="1" type="noConversion"/>
  </si>
  <si>
    <t>min</t>
    <phoneticPr fontId="1" type="noConversion"/>
  </si>
  <si>
    <t>max</t>
    <phoneticPr fontId="1" type="noConversion"/>
  </si>
  <si>
    <t>IQR</t>
    <phoneticPr fontId="1" type="noConversion"/>
  </si>
  <si>
    <t>上限</t>
    <phoneticPr fontId="1" type="noConversion"/>
  </si>
  <si>
    <t>25% 分位数  Q1</t>
    <phoneticPr fontId="1" type="noConversion"/>
  </si>
  <si>
    <t>75% 分位数. Q3</t>
    <phoneticPr fontId="1" type="noConversion"/>
  </si>
  <si>
    <t>Q3-Q1</t>
    <phoneticPr fontId="1" type="noConversion"/>
  </si>
  <si>
    <t>1.5 * IQR+Q3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</si>
</sst>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h:mm;@"/>
    <numFmt numFmtId="179" formatCode="#,##0_ "/>
  </numFmts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b/>
      <sz val="12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/>
    <xf numFmtId="178" fontId="0" fillId="2" borderId="0" xfId="0" applyNumberFormat="1" applyFill="1">
      <alignment vertical="center"/>
    </xf>
    <xf numFmtId="178" fontId="2" fillId="0" borderId="1" xfId="0" applyNumberFormat="1" applyFont="1" applyBorder="1" applyAlignment="1">
      <alignment horizontal="center" vertical="top"/>
    </xf>
    <xf numFmtId="179" fontId="0" fillId="2" borderId="1" xfId="0" applyNumberFormat="1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/>
    </xf>
    <xf numFmtId="179" fontId="0" fillId="2" borderId="0" xfId="0" applyNumberFormat="1" applyFill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3" fillId="2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title pos="t" align="ctr" overlay="0">
      <cx:tx>
        <cx:txData>
          <cx:v>不同时点门店客流量分布图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等线" panose="02010600030101010101" pitchFamily="2" charset="-122"/>
            </a:rPr>
            <a:t>不同时点门店客流量分布图</a:t>
          </a:r>
        </a:p>
      </cx:txPr>
    </cx:title>
    <cx:plotArea>
      <cx:plotAreaRegion>
        <cx:series layoutId="clusteredColumn" uniqueId="{04B02DA3-8B99-4E4B-B459-EE2CAFC15282}">
          <cx:tx>
            <cx:txData>
              <cx:f>_xlchart.v1.3</cx:f>
              <cx:v>门店客流量</cx:v>
            </cx:txData>
          </cx:tx>
          <cx:spPr>
            <a:solidFill>
              <a:srgbClr val="00B0F0">
                <a:alpha val="52958"/>
              </a:srgbClr>
            </a:solidFill>
          </cx:spPr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下单用户年龄分布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等线" panose="02010600030101010101" pitchFamily="2" charset="-122"/>
            </a:rPr>
            <a:t>下单用户年龄分布</a:t>
          </a:r>
        </a:p>
      </cx:txPr>
    </cx:title>
    <cx:plotArea>
      <cx:plotAreaRegion>
        <cx:series layoutId="clusteredColumn" uniqueId="{0E854DA6-36B5-7A45-999F-25DF8A06F362}">
          <cx:tx>
            <cx:txData>
              <cx:f>_xlchart.v1.0</cx:f>
              <cx:v/>
            </cx:txData>
          </cx:tx>
          <cx:spPr>
            <a:solidFill>
              <a:srgbClr val="00B0F0">
                <a:alpha val="64347"/>
              </a:srgbClr>
            </a:solidFill>
          </cx:spPr>
          <cx:dataPt idx="1">
            <cx:spPr>
              <a:solidFill>
                <a:srgbClr val="ED7D31">
                  <a:alpha val="64347"/>
                </a:srgbClr>
              </a:solidFill>
            </cx:spPr>
          </cx:dataPt>
          <cx:dataId val="0"/>
          <cx:layoutPr>
            <cx:binning intervalClosed="r" underflow="20" overflow="60">
              <cx:binSize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zh-CN" altLang="en-US" sz="2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 Light" panose="020F0302020204030204"/>
                <a:ea typeface="等线 Light" panose="02010600030101010101" pitchFamily="2" charset="-122"/>
              </a:rPr>
              <a:t>客单价箱线图</a:t>
            </a:r>
            <a:endParaRPr lang="en-US" altLang="zh-CN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  <a:ea typeface="等线 Light" panose="02010600030101010101" pitchFamily="2" charset="-122"/>
            </a:endParaRPr>
          </a:p>
        </cx:rich>
      </cx:tx>
    </cx:title>
    <cx:plotArea>
      <cx:plotAreaRegion>
        <cx:series layoutId="boxWhisker" uniqueId="{496BA00B-1E0A-A347-897D-5E6BBE36260C}">
          <cx:tx>
            <cx:txData>
              <cx:f>_xlchart.v1.5</cx:f>
              <cx:v>客单价</cx:v>
            </cx:txData>
          </cx:tx>
          <cx:spPr>
            <a:solidFill>
              <a:srgbClr val="00B050">
                <a:alpha val="34157"/>
              </a:srgbClr>
            </a:solidFill>
          </cx:spPr>
          <cx:dataLabels pos="l">
            <cx:visibility seriesName="0" categoryName="0" value="1"/>
          </cx:dataLabels>
          <cx:dataId val="0"/>
          <cx:layoutPr>
            <cx:visibility meanLine="0" meanMarker="0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215900</xdr:colOff>
      <xdr:row>1</xdr:row>
      <xdr:rowOff>12700</xdr:rowOff>
    </xdr:from>
    <xdr:to>
      <xdr:col>8</xdr:col>
      <xdr:colOff>660400</xdr:colOff>
      <xdr:row>14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图表 4">
              <a:extLst>
                <a:ext uri="{FF2B5EF4-FFF2-40B4-BE49-F238E27FC236}">
                  <a16:creationId xmlns:a16="http://schemas.microsoft.com/office/drawing/2014/main" id="{F88A733A-31E3-5241-ACAF-68A45FCCAC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59000" y="215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12</xdr:col>
      <xdr:colOff>139700</xdr:colOff>
      <xdr:row>0</xdr:row>
      <xdr:rowOff>127000</xdr:rowOff>
    </xdr:from>
    <xdr:to>
      <xdr:col>17</xdr:col>
      <xdr:colOff>419100</xdr:colOff>
      <xdr:row>14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60F41D7B-B882-CF22-C5B0-2E15485D47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02800" y="127000"/>
              <a:ext cx="4406900" cy="271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24</xdr:col>
      <xdr:colOff>412750</xdr:colOff>
      <xdr:row>0</xdr:row>
      <xdr:rowOff>63500</xdr:rowOff>
    </xdr:from>
    <xdr:to>
      <xdr:col>30</xdr:col>
      <xdr:colOff>298450</xdr:colOff>
      <xdr:row>13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图表 3">
              <a:extLst>
                <a:ext uri="{FF2B5EF4-FFF2-40B4-BE49-F238E27FC236}">
                  <a16:creationId xmlns:a16="http://schemas.microsoft.com/office/drawing/2014/main" id="{E37DAD3C-FF14-AB70-E24F-9007FBBB53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48550" y="63500"/>
              <a:ext cx="4838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5A998-A5D8-0446-B2DE-7F06F10C629F}">
  <dimension ref="B1:X340"/>
  <sheetViews>
    <sheetView tabSelected="1" topLeftCell="N1" workbookViewId="0">
      <selection activeCell="T1" sqref="T1:U1048576"/>
    </sheetView>
  </sheetViews>
  <sheetFormatPr baseColWidth="10" defaultRowHeight="16"/>
  <cols>
    <col min="1" max="1" width="3" style="1" customWidth="1"/>
    <col min="2" max="2" width="11.6640625" style="5" customWidth="1"/>
    <col min="3" max="3" width="10.83203125" style="9"/>
    <col min="4" max="9" width="10.83203125" style="1"/>
    <col min="10" max="10" width="9" style="1" customWidth="1"/>
    <col min="11" max="11" width="15.1640625" style="1" customWidth="1"/>
    <col min="12" max="21" width="10.83203125" style="1"/>
    <col min="22" max="22" width="14.33203125" style="1" customWidth="1"/>
    <col min="23" max="16384" width="10.83203125" style="1"/>
  </cols>
  <sheetData>
    <row r="1" spans="2:24">
      <c r="T1" s="2" t="s">
        <v>4</v>
      </c>
      <c r="U1" s="11" t="s">
        <v>343</v>
      </c>
      <c r="V1" s="13" t="s">
        <v>344</v>
      </c>
      <c r="W1" s="3">
        <f>AVERAGE(U2:U339)</f>
        <v>36.215976331360949</v>
      </c>
    </row>
    <row r="2" spans="2:24">
      <c r="B2" s="10" t="s">
        <v>0</v>
      </c>
      <c r="C2" s="7" t="s">
        <v>1</v>
      </c>
      <c r="K2" s="2" t="s">
        <v>4</v>
      </c>
      <c r="L2" s="11" t="s">
        <v>2</v>
      </c>
      <c r="T2" s="2" t="s">
        <v>5</v>
      </c>
      <c r="U2" s="12">
        <v>45</v>
      </c>
      <c r="V2" s="13" t="s">
        <v>346</v>
      </c>
      <c r="W2" s="3">
        <f>_xlfn.QUARTILE.INC($U$2:$U$339,0)</f>
        <v>15</v>
      </c>
    </row>
    <row r="3" spans="2:24">
      <c r="B3" s="6">
        <v>43831</v>
      </c>
      <c r="C3" s="8">
        <v>678.17425812671502</v>
      </c>
      <c r="K3" s="2" t="s">
        <v>5</v>
      </c>
      <c r="L3" s="12">
        <v>45</v>
      </c>
      <c r="T3" s="2" t="s">
        <v>6</v>
      </c>
      <c r="U3" s="12">
        <v>57</v>
      </c>
      <c r="V3" s="13" t="s">
        <v>350</v>
      </c>
      <c r="W3" s="3">
        <f>_xlfn.QUARTILE.INC($U$2:$U$339,1)</f>
        <v>26</v>
      </c>
    </row>
    <row r="4" spans="2:24">
      <c r="B4" s="6">
        <v>43831.020833333343</v>
      </c>
      <c r="C4" s="8">
        <v>499.84137563348798</v>
      </c>
      <c r="K4" s="2" t="s">
        <v>6</v>
      </c>
      <c r="L4" s="12">
        <v>57</v>
      </c>
      <c r="T4" s="2" t="s">
        <v>7</v>
      </c>
      <c r="U4" s="12">
        <v>36</v>
      </c>
      <c r="V4" s="13" t="s">
        <v>345</v>
      </c>
      <c r="W4" s="3">
        <f>_xlfn.QUARTILE.INC($U$2:$U$339,2)</f>
        <v>33</v>
      </c>
    </row>
    <row r="5" spans="2:24">
      <c r="B5" s="6">
        <v>43831.041666666657</v>
      </c>
      <c r="C5" s="8">
        <v>574.82208323390807</v>
      </c>
      <c r="K5" s="2" t="s">
        <v>7</v>
      </c>
      <c r="L5" s="12">
        <v>36</v>
      </c>
      <c r="T5" s="2" t="s">
        <v>8</v>
      </c>
      <c r="U5" s="12">
        <v>23</v>
      </c>
      <c r="V5" s="13" t="s">
        <v>351</v>
      </c>
      <c r="W5" s="3">
        <f>_xlfn.QUARTILE.INC($U$2:$U$339,3)</f>
        <v>44.75</v>
      </c>
    </row>
    <row r="6" spans="2:24">
      <c r="B6" s="6">
        <v>43831.0625</v>
      </c>
      <c r="C6" s="8">
        <v>640.34551657280281</v>
      </c>
      <c r="K6" s="2" t="s">
        <v>8</v>
      </c>
      <c r="L6" s="12">
        <v>23</v>
      </c>
      <c r="T6" s="2" t="s">
        <v>9</v>
      </c>
      <c r="U6" s="12">
        <v>30</v>
      </c>
      <c r="V6" s="13" t="s">
        <v>347</v>
      </c>
      <c r="W6" s="3">
        <f>_xlfn.QUARTILE.INC($U$2:$U$339,4)</f>
        <v>94</v>
      </c>
    </row>
    <row r="7" spans="2:24">
      <c r="B7" s="6">
        <v>43831.083333333343</v>
      </c>
      <c r="C7" s="8">
        <v>554.8758840291639</v>
      </c>
      <c r="K7" s="2" t="s">
        <v>9</v>
      </c>
      <c r="L7" s="12">
        <v>30</v>
      </c>
      <c r="T7" s="2" t="s">
        <v>10</v>
      </c>
      <c r="U7" s="12">
        <v>35</v>
      </c>
      <c r="V7" s="13" t="s">
        <v>348</v>
      </c>
      <c r="W7" s="3">
        <f>W5-W3</f>
        <v>18.75</v>
      </c>
      <c r="X7" s="1" t="s">
        <v>352</v>
      </c>
    </row>
    <row r="8" spans="2:24">
      <c r="B8" s="6">
        <v>43831.104166666657</v>
      </c>
      <c r="C8" s="8">
        <v>663.993559036335</v>
      </c>
      <c r="K8" s="2" t="s">
        <v>10</v>
      </c>
      <c r="L8" s="12">
        <v>35</v>
      </c>
      <c r="T8" s="2" t="s">
        <v>11</v>
      </c>
      <c r="U8" s="12">
        <v>27</v>
      </c>
      <c r="V8" s="13" t="s">
        <v>349</v>
      </c>
      <c r="W8" s="3">
        <f>W7*1.5+W5</f>
        <v>72.875</v>
      </c>
      <c r="X8" s="1" t="s">
        <v>353</v>
      </c>
    </row>
    <row r="9" spans="2:24">
      <c r="B9" s="6">
        <v>43831.125</v>
      </c>
      <c r="C9" s="8">
        <v>536.66121131236832</v>
      </c>
      <c r="K9" s="2" t="s">
        <v>11</v>
      </c>
      <c r="L9" s="12">
        <v>27</v>
      </c>
      <c r="T9" s="2" t="s">
        <v>12</v>
      </c>
      <c r="U9" s="12">
        <v>27</v>
      </c>
    </row>
    <row r="10" spans="2:24">
      <c r="B10" s="6">
        <v>43831.145833333343</v>
      </c>
      <c r="C10" s="8">
        <v>542.52176581037713</v>
      </c>
      <c r="K10" s="2" t="s">
        <v>12</v>
      </c>
      <c r="L10" s="12">
        <v>27</v>
      </c>
      <c r="T10" s="2" t="s">
        <v>13</v>
      </c>
      <c r="U10" s="12">
        <v>32</v>
      </c>
    </row>
    <row r="11" spans="2:24">
      <c r="B11" s="6">
        <v>43831.166666666657</v>
      </c>
      <c r="C11" s="8">
        <v>465.32063347811999</v>
      </c>
      <c r="K11" s="2" t="s">
        <v>13</v>
      </c>
      <c r="L11" s="12">
        <v>32</v>
      </c>
      <c r="T11" s="2" t="s">
        <v>14</v>
      </c>
      <c r="U11" s="12">
        <v>31</v>
      </c>
    </row>
    <row r="12" spans="2:24">
      <c r="B12" s="6">
        <v>43831.1875</v>
      </c>
      <c r="C12" s="8">
        <v>638.59171919080541</v>
      </c>
      <c r="K12" s="2" t="s">
        <v>14</v>
      </c>
      <c r="L12" s="12">
        <v>31</v>
      </c>
      <c r="T12" s="2" t="s">
        <v>15</v>
      </c>
      <c r="U12" s="12">
        <v>36</v>
      </c>
    </row>
    <row r="13" spans="2:24">
      <c r="B13" s="6">
        <v>43831.208333333343</v>
      </c>
      <c r="C13" s="8">
        <v>507.46290543866962</v>
      </c>
      <c r="K13" s="2" t="s">
        <v>15</v>
      </c>
      <c r="L13" s="12">
        <v>36</v>
      </c>
      <c r="T13" s="2" t="s">
        <v>16</v>
      </c>
      <c r="U13" s="12">
        <v>25</v>
      </c>
    </row>
    <row r="14" spans="2:24">
      <c r="B14" s="6">
        <v>43831.229166666657</v>
      </c>
      <c r="C14" s="8">
        <v>603.36704406939987</v>
      </c>
      <c r="K14" s="2" t="s">
        <v>16</v>
      </c>
      <c r="L14" s="12">
        <v>25</v>
      </c>
      <c r="T14" s="2" t="s">
        <v>17</v>
      </c>
      <c r="U14" s="12">
        <v>28</v>
      </c>
    </row>
    <row r="15" spans="2:24">
      <c r="B15" s="6">
        <v>43831.25</v>
      </c>
      <c r="C15" s="8">
        <v>584.30618710109684</v>
      </c>
      <c r="K15" s="2" t="s">
        <v>17</v>
      </c>
      <c r="L15" s="12">
        <v>28</v>
      </c>
      <c r="T15" s="2" t="s">
        <v>18</v>
      </c>
      <c r="U15" s="12">
        <v>25</v>
      </c>
    </row>
    <row r="16" spans="2:24">
      <c r="B16" s="6">
        <v>43831.270833333343</v>
      </c>
      <c r="C16" s="8">
        <v>602.83965053562122</v>
      </c>
      <c r="K16" s="2" t="s">
        <v>18</v>
      </c>
      <c r="L16" s="12">
        <v>25</v>
      </c>
      <c r="T16" s="2" t="s">
        <v>19</v>
      </c>
      <c r="U16" s="12">
        <v>42</v>
      </c>
    </row>
    <row r="17" spans="2:21">
      <c r="B17" s="6">
        <v>43831.291666666657</v>
      </c>
      <c r="C17" s="8">
        <v>751.83073028072374</v>
      </c>
      <c r="K17" s="2" t="s">
        <v>19</v>
      </c>
      <c r="L17" s="12">
        <v>42</v>
      </c>
      <c r="T17" s="2" t="s">
        <v>20</v>
      </c>
      <c r="U17" s="12">
        <v>22</v>
      </c>
    </row>
    <row r="18" spans="2:21">
      <c r="B18" s="6">
        <v>43831.3125</v>
      </c>
      <c r="C18" s="8">
        <v>661.20937721381335</v>
      </c>
      <c r="K18" s="2" t="s">
        <v>20</v>
      </c>
      <c r="L18" s="12">
        <v>22</v>
      </c>
      <c r="T18" s="2" t="s">
        <v>21</v>
      </c>
      <c r="U18" s="12">
        <v>22</v>
      </c>
    </row>
    <row r="19" spans="2:21">
      <c r="B19" s="6">
        <v>43831.333333333343</v>
      </c>
      <c r="C19" s="8">
        <v>609.85455108635188</v>
      </c>
      <c r="K19" s="2" t="s">
        <v>21</v>
      </c>
      <c r="L19" s="12">
        <v>22</v>
      </c>
      <c r="T19" s="2" t="s">
        <v>22</v>
      </c>
      <c r="U19" s="12">
        <v>15</v>
      </c>
    </row>
    <row r="20" spans="2:21">
      <c r="B20" s="6">
        <v>43831.354166666657</v>
      </c>
      <c r="C20" s="8">
        <v>618.27139305390631</v>
      </c>
      <c r="K20" s="2" t="s">
        <v>22</v>
      </c>
      <c r="L20" s="12">
        <v>15</v>
      </c>
      <c r="T20" s="2" t="s">
        <v>23</v>
      </c>
      <c r="U20" s="12">
        <v>20</v>
      </c>
    </row>
    <row r="21" spans="2:21">
      <c r="B21" s="6">
        <v>43831.375</v>
      </c>
      <c r="C21" s="8">
        <v>608.77631156846212</v>
      </c>
      <c r="K21" s="2" t="s">
        <v>23</v>
      </c>
      <c r="L21" s="12">
        <v>20</v>
      </c>
      <c r="T21" s="2" t="s">
        <v>24</v>
      </c>
      <c r="U21" s="12">
        <v>43</v>
      </c>
    </row>
    <row r="22" spans="2:21">
      <c r="B22" s="6">
        <v>43831.395833333343</v>
      </c>
      <c r="C22" s="8">
        <v>583.52239953930905</v>
      </c>
      <c r="K22" s="2" t="s">
        <v>24</v>
      </c>
      <c r="L22" s="12">
        <v>43</v>
      </c>
      <c r="T22" s="2" t="s">
        <v>25</v>
      </c>
      <c r="U22" s="12">
        <v>30</v>
      </c>
    </row>
    <row r="23" spans="2:21">
      <c r="B23" s="6">
        <v>43831.416666666657</v>
      </c>
      <c r="C23" s="8">
        <v>589.94513158590837</v>
      </c>
      <c r="K23" s="2" t="s">
        <v>25</v>
      </c>
      <c r="L23" s="12">
        <v>30</v>
      </c>
      <c r="T23" s="2" t="s">
        <v>26</v>
      </c>
      <c r="U23" s="12">
        <v>56</v>
      </c>
    </row>
    <row r="24" spans="2:21">
      <c r="B24" s="6">
        <v>43831.4375</v>
      </c>
      <c r="C24" s="8">
        <v>586.93204801595004</v>
      </c>
      <c r="K24" s="2" t="s">
        <v>26</v>
      </c>
      <c r="L24" s="12">
        <v>56</v>
      </c>
      <c r="T24" s="2" t="s">
        <v>27</v>
      </c>
      <c r="U24" s="12">
        <v>34</v>
      </c>
    </row>
    <row r="25" spans="2:21">
      <c r="B25" s="6">
        <v>43831.458333333343</v>
      </c>
      <c r="C25" s="8">
        <v>573.08796075431894</v>
      </c>
      <c r="K25" s="2" t="s">
        <v>27</v>
      </c>
      <c r="L25" s="12">
        <v>34</v>
      </c>
      <c r="T25" s="2" t="s">
        <v>28</v>
      </c>
      <c r="U25" s="12">
        <v>44</v>
      </c>
    </row>
    <row r="26" spans="2:21">
      <c r="B26" s="6">
        <v>43831.479166666657</v>
      </c>
      <c r="C26" s="8">
        <v>541.67703667629576</v>
      </c>
      <c r="K26" s="2" t="s">
        <v>28</v>
      </c>
      <c r="L26" s="12">
        <v>44</v>
      </c>
      <c r="T26" s="2" t="s">
        <v>29</v>
      </c>
      <c r="U26" s="12">
        <v>29</v>
      </c>
    </row>
    <row r="27" spans="2:21">
      <c r="B27" s="6">
        <v>43831.5</v>
      </c>
      <c r="C27" s="8">
        <v>661.41978135956674</v>
      </c>
      <c r="K27" s="2" t="s">
        <v>29</v>
      </c>
      <c r="L27" s="12">
        <v>29</v>
      </c>
      <c r="T27" s="2" t="s">
        <v>30</v>
      </c>
      <c r="U27" s="12">
        <v>40</v>
      </c>
    </row>
    <row r="28" spans="2:21">
      <c r="B28" s="6">
        <v>43831.520833333343</v>
      </c>
      <c r="C28" s="8">
        <v>610.04306424399158</v>
      </c>
      <c r="K28" s="2" t="s">
        <v>30</v>
      </c>
      <c r="L28" s="12">
        <v>40</v>
      </c>
      <c r="T28" s="2" t="s">
        <v>31</v>
      </c>
      <c r="U28" s="12">
        <v>37</v>
      </c>
    </row>
    <row r="29" spans="2:21">
      <c r="B29" s="6">
        <v>43831.541666666657</v>
      </c>
      <c r="C29" s="8">
        <v>668.80492078564316</v>
      </c>
      <c r="K29" s="2" t="s">
        <v>31</v>
      </c>
      <c r="L29" s="12">
        <v>37</v>
      </c>
      <c r="T29" s="2" t="s">
        <v>32</v>
      </c>
      <c r="U29" s="12">
        <v>58</v>
      </c>
    </row>
    <row r="30" spans="2:21">
      <c r="B30" s="6">
        <v>43831.5625</v>
      </c>
      <c r="C30" s="8">
        <v>544.05279746059966</v>
      </c>
      <c r="K30" s="2" t="s">
        <v>32</v>
      </c>
      <c r="L30" s="12">
        <v>58</v>
      </c>
      <c r="T30" s="2" t="s">
        <v>33</v>
      </c>
      <c r="U30" s="12">
        <v>24</v>
      </c>
    </row>
    <row r="31" spans="2:21">
      <c r="B31" s="6">
        <v>43831.583333333343</v>
      </c>
      <c r="C31" s="8">
        <v>556.551472987956</v>
      </c>
      <c r="K31" s="2" t="s">
        <v>33</v>
      </c>
      <c r="L31" s="12">
        <v>24</v>
      </c>
      <c r="T31" s="2" t="s">
        <v>34</v>
      </c>
      <c r="U31" s="12">
        <v>72</v>
      </c>
    </row>
    <row r="32" spans="2:21">
      <c r="B32" s="6">
        <v>43831.604166666657</v>
      </c>
      <c r="C32" s="8">
        <v>579.44669050248126</v>
      </c>
      <c r="K32" s="2" t="s">
        <v>34</v>
      </c>
      <c r="L32" s="12">
        <v>72</v>
      </c>
      <c r="T32" s="2" t="s">
        <v>35</v>
      </c>
      <c r="U32" s="12">
        <v>36</v>
      </c>
    </row>
    <row r="33" spans="2:21">
      <c r="B33" s="6">
        <v>43831.625</v>
      </c>
      <c r="C33" s="8">
        <v>641.00059361703086</v>
      </c>
      <c r="K33" s="2" t="s">
        <v>35</v>
      </c>
      <c r="L33" s="12">
        <v>36</v>
      </c>
      <c r="T33" s="2" t="s">
        <v>36</v>
      </c>
      <c r="U33" s="12">
        <v>34</v>
      </c>
    </row>
    <row r="34" spans="2:21">
      <c r="B34" s="6">
        <v>43831.645833333343</v>
      </c>
      <c r="C34" s="8">
        <v>585.36308143421343</v>
      </c>
      <c r="K34" s="2" t="s">
        <v>36</v>
      </c>
      <c r="L34" s="12">
        <v>34</v>
      </c>
      <c r="T34" s="2" t="s">
        <v>37</v>
      </c>
      <c r="U34" s="12">
        <v>31</v>
      </c>
    </row>
    <row r="35" spans="2:21">
      <c r="B35" s="6">
        <v>43831.666666666657</v>
      </c>
      <c r="C35" s="8">
        <v>446.42050758773638</v>
      </c>
      <c r="K35" s="2" t="s">
        <v>37</v>
      </c>
      <c r="L35" s="12">
        <v>31</v>
      </c>
      <c r="T35" s="2" t="s">
        <v>38</v>
      </c>
      <c r="U35" s="12">
        <v>45</v>
      </c>
    </row>
    <row r="36" spans="2:21">
      <c r="B36" s="6">
        <v>43831.6875</v>
      </c>
      <c r="C36" s="8">
        <v>602.44901042234937</v>
      </c>
      <c r="K36" s="2" t="s">
        <v>38</v>
      </c>
      <c r="L36" s="12">
        <v>45</v>
      </c>
      <c r="T36" s="2" t="s">
        <v>39</v>
      </c>
      <c r="U36" s="12">
        <v>68</v>
      </c>
    </row>
    <row r="37" spans="2:21">
      <c r="B37" s="6">
        <v>43831.708333333343</v>
      </c>
      <c r="C37" s="8">
        <v>585.0932716760542</v>
      </c>
      <c r="K37" s="2" t="s">
        <v>39</v>
      </c>
      <c r="L37" s="12">
        <v>68</v>
      </c>
      <c r="T37" s="2" t="s">
        <v>40</v>
      </c>
      <c r="U37" s="12">
        <v>23</v>
      </c>
    </row>
    <row r="38" spans="2:21">
      <c r="B38" s="6">
        <v>43831.729166666657</v>
      </c>
      <c r="C38" s="8">
        <v>529.65718928096123</v>
      </c>
      <c r="K38" s="2" t="s">
        <v>40</v>
      </c>
      <c r="L38" s="12">
        <v>23</v>
      </c>
      <c r="T38" s="2" t="s">
        <v>41</v>
      </c>
      <c r="U38" s="12">
        <v>31</v>
      </c>
    </row>
    <row r="39" spans="2:21">
      <c r="B39" s="6">
        <v>43831.75</v>
      </c>
      <c r="C39" s="8">
        <v>690.58433058730861</v>
      </c>
      <c r="K39" s="2" t="s">
        <v>41</v>
      </c>
      <c r="L39" s="12">
        <v>31</v>
      </c>
      <c r="T39" s="2" t="s">
        <v>42</v>
      </c>
      <c r="U39" s="12">
        <v>47</v>
      </c>
    </row>
    <row r="40" spans="2:21">
      <c r="B40" s="6">
        <v>43831.770833333343</v>
      </c>
      <c r="C40" s="8">
        <v>588.92393998231273</v>
      </c>
      <c r="K40" s="2" t="s">
        <v>42</v>
      </c>
      <c r="L40" s="12">
        <v>47</v>
      </c>
      <c r="T40" s="2" t="s">
        <v>43</v>
      </c>
      <c r="U40" s="12">
        <v>36</v>
      </c>
    </row>
    <row r="41" spans="2:21">
      <c r="B41" s="6">
        <v>43831.791666666657</v>
      </c>
      <c r="C41" s="8">
        <v>599.23193709489772</v>
      </c>
      <c r="K41" s="2" t="s">
        <v>43</v>
      </c>
      <c r="L41" s="12">
        <v>36</v>
      </c>
      <c r="T41" s="2" t="s">
        <v>44</v>
      </c>
      <c r="U41" s="12">
        <v>35</v>
      </c>
    </row>
    <row r="42" spans="2:21">
      <c r="B42" s="6">
        <v>43831.8125</v>
      </c>
      <c r="C42" s="8">
        <v>536.73867059987708</v>
      </c>
      <c r="K42" s="2" t="s">
        <v>44</v>
      </c>
      <c r="L42" s="12">
        <v>35</v>
      </c>
      <c r="T42" s="2" t="s">
        <v>45</v>
      </c>
      <c r="U42" s="12">
        <v>15</v>
      </c>
    </row>
    <row r="43" spans="2:21">
      <c r="B43" s="6">
        <v>43831.833333333343</v>
      </c>
      <c r="C43" s="8">
        <v>592.73740086700604</v>
      </c>
      <c r="K43" s="2" t="s">
        <v>45</v>
      </c>
      <c r="L43" s="12">
        <v>15</v>
      </c>
      <c r="T43" s="2" t="s">
        <v>46</v>
      </c>
      <c r="U43" s="12">
        <v>40</v>
      </c>
    </row>
    <row r="44" spans="2:21">
      <c r="B44" s="6">
        <v>43831.854166666657</v>
      </c>
      <c r="C44" s="8">
        <v>542.64134631985098</v>
      </c>
      <c r="K44" s="2" t="s">
        <v>46</v>
      </c>
      <c r="L44" s="12">
        <v>40</v>
      </c>
      <c r="T44" s="2" t="s">
        <v>47</v>
      </c>
      <c r="U44" s="12">
        <v>29</v>
      </c>
    </row>
    <row r="45" spans="2:21">
      <c r="B45" s="6">
        <v>43831.875</v>
      </c>
      <c r="C45" s="8">
        <v>567.6468922852182</v>
      </c>
      <c r="K45" s="2" t="s">
        <v>47</v>
      </c>
      <c r="L45" s="12">
        <v>29</v>
      </c>
      <c r="T45" s="2" t="s">
        <v>48</v>
      </c>
      <c r="U45" s="12">
        <v>18</v>
      </c>
    </row>
    <row r="46" spans="2:21">
      <c r="B46" s="6">
        <v>43831.895833333343</v>
      </c>
      <c r="C46" s="8">
        <v>548.8391660022894</v>
      </c>
      <c r="K46" s="2" t="s">
        <v>48</v>
      </c>
      <c r="L46" s="12">
        <v>18</v>
      </c>
      <c r="T46" s="2" t="s">
        <v>49</v>
      </c>
      <c r="U46" s="12">
        <v>43</v>
      </c>
    </row>
    <row r="47" spans="2:21">
      <c r="B47" s="6">
        <v>43831.916666666657</v>
      </c>
      <c r="C47" s="8">
        <v>570.14599927697054</v>
      </c>
      <c r="K47" s="2" t="s">
        <v>49</v>
      </c>
      <c r="L47" s="12">
        <v>43</v>
      </c>
      <c r="T47" s="2" t="s">
        <v>50</v>
      </c>
      <c r="U47" s="12">
        <v>20</v>
      </c>
    </row>
    <row r="48" spans="2:21">
      <c r="B48" s="6">
        <v>43831.9375</v>
      </c>
      <c r="C48" s="8">
        <v>665.40376427756428</v>
      </c>
      <c r="K48" s="2" t="s">
        <v>50</v>
      </c>
      <c r="L48" s="12">
        <v>20</v>
      </c>
      <c r="T48" s="2" t="s">
        <v>51</v>
      </c>
      <c r="U48" s="12">
        <v>28</v>
      </c>
    </row>
    <row r="49" spans="2:21">
      <c r="B49" s="6">
        <v>43831.958333333343</v>
      </c>
      <c r="C49" s="8">
        <v>588.03773370667295</v>
      </c>
      <c r="K49" s="2" t="s">
        <v>51</v>
      </c>
      <c r="L49" s="12">
        <v>28</v>
      </c>
      <c r="T49" s="2" t="s">
        <v>52</v>
      </c>
      <c r="U49" s="12">
        <v>49</v>
      </c>
    </row>
    <row r="50" spans="2:21">
      <c r="B50" s="6">
        <v>43831.979166666657</v>
      </c>
      <c r="C50" s="8">
        <v>604.00742036857207</v>
      </c>
      <c r="K50" s="2" t="s">
        <v>52</v>
      </c>
      <c r="L50" s="12">
        <v>49</v>
      </c>
      <c r="T50" s="2" t="s">
        <v>53</v>
      </c>
      <c r="U50" s="12">
        <v>30</v>
      </c>
    </row>
    <row r="51" spans="2:21">
      <c r="K51" s="2" t="s">
        <v>53</v>
      </c>
      <c r="L51" s="12">
        <v>30</v>
      </c>
      <c r="T51" s="2" t="s">
        <v>54</v>
      </c>
      <c r="U51" s="12">
        <v>32</v>
      </c>
    </row>
    <row r="52" spans="2:21">
      <c r="K52" s="2" t="s">
        <v>54</v>
      </c>
      <c r="L52" s="12">
        <v>32</v>
      </c>
      <c r="T52" s="2" t="s">
        <v>55</v>
      </c>
      <c r="U52" s="12">
        <v>16</v>
      </c>
    </row>
    <row r="53" spans="2:21">
      <c r="B53" s="10" t="s">
        <v>2</v>
      </c>
      <c r="C53" s="7" t="s">
        <v>3</v>
      </c>
      <c r="K53" s="2" t="s">
        <v>55</v>
      </c>
      <c r="L53" s="12">
        <v>16</v>
      </c>
      <c r="T53" s="2" t="s">
        <v>56</v>
      </c>
      <c r="U53" s="12">
        <v>65</v>
      </c>
    </row>
    <row r="54" spans="2:21">
      <c r="B54" s="4">
        <v>1</v>
      </c>
      <c r="C54" s="4">
        <v>493.12001596550527</v>
      </c>
      <c r="K54" s="2" t="s">
        <v>56</v>
      </c>
      <c r="L54" s="12">
        <v>65</v>
      </c>
      <c r="T54" s="2" t="s">
        <v>57</v>
      </c>
      <c r="U54" s="12">
        <v>44</v>
      </c>
    </row>
    <row r="55" spans="2:21">
      <c r="B55" s="4">
        <v>1</v>
      </c>
      <c r="C55" s="4">
        <v>517.22378630772448</v>
      </c>
      <c r="K55" s="2" t="s">
        <v>57</v>
      </c>
      <c r="L55" s="12">
        <v>44</v>
      </c>
      <c r="T55" s="2" t="s">
        <v>58</v>
      </c>
      <c r="U55" s="12">
        <v>35</v>
      </c>
    </row>
    <row r="56" spans="2:21">
      <c r="B56" s="4">
        <v>4</v>
      </c>
      <c r="C56" s="4">
        <v>544.82751724815955</v>
      </c>
      <c r="K56" s="2" t="s">
        <v>58</v>
      </c>
      <c r="L56" s="12">
        <v>35</v>
      </c>
      <c r="T56" s="2" t="s">
        <v>59</v>
      </c>
      <c r="U56" s="12">
        <v>18</v>
      </c>
    </row>
    <row r="57" spans="2:21">
      <c r="B57" s="4">
        <v>1</v>
      </c>
      <c r="C57" s="4">
        <v>491.44616773952788</v>
      </c>
      <c r="K57" s="2" t="s">
        <v>59</v>
      </c>
      <c r="L57" s="12">
        <v>18</v>
      </c>
      <c r="T57" s="2" t="s">
        <v>60</v>
      </c>
      <c r="U57" s="12">
        <v>91</v>
      </c>
    </row>
    <row r="58" spans="2:21">
      <c r="B58" s="4">
        <v>2</v>
      </c>
      <c r="C58" s="4">
        <v>634.71577072928676</v>
      </c>
      <c r="K58" s="2" t="s">
        <v>60</v>
      </c>
      <c r="L58" s="12">
        <v>91</v>
      </c>
      <c r="T58" s="2" t="s">
        <v>61</v>
      </c>
      <c r="U58" s="12">
        <v>29</v>
      </c>
    </row>
    <row r="59" spans="2:21">
      <c r="B59" s="4">
        <v>3</v>
      </c>
      <c r="C59" s="4">
        <v>580.67177550682402</v>
      </c>
      <c r="K59" s="2" t="s">
        <v>61</v>
      </c>
      <c r="L59" s="12">
        <v>29</v>
      </c>
      <c r="T59" s="2" t="s">
        <v>62</v>
      </c>
      <c r="U59" s="12">
        <v>25</v>
      </c>
    </row>
    <row r="60" spans="2:21">
      <c r="K60" s="2" t="s">
        <v>62</v>
      </c>
      <c r="L60" s="12">
        <v>25</v>
      </c>
      <c r="T60" s="2" t="s">
        <v>63</v>
      </c>
      <c r="U60" s="12">
        <v>63</v>
      </c>
    </row>
    <row r="61" spans="2:21">
      <c r="K61" s="2" t="s">
        <v>63</v>
      </c>
      <c r="L61" s="12">
        <v>63</v>
      </c>
      <c r="T61" s="2" t="s">
        <v>64</v>
      </c>
      <c r="U61" s="12">
        <v>17</v>
      </c>
    </row>
    <row r="62" spans="2:21">
      <c r="K62" s="2" t="s">
        <v>64</v>
      </c>
      <c r="L62" s="12">
        <v>17</v>
      </c>
      <c r="T62" s="2" t="s">
        <v>65</v>
      </c>
      <c r="U62" s="12">
        <v>47</v>
      </c>
    </row>
    <row r="63" spans="2:21">
      <c r="K63" s="2" t="s">
        <v>65</v>
      </c>
      <c r="L63" s="12">
        <v>47</v>
      </c>
      <c r="T63" s="2" t="s">
        <v>66</v>
      </c>
      <c r="U63" s="12">
        <v>24</v>
      </c>
    </row>
    <row r="64" spans="2:21">
      <c r="K64" s="2" t="s">
        <v>66</v>
      </c>
      <c r="L64" s="12">
        <v>24</v>
      </c>
      <c r="T64" s="2" t="s">
        <v>67</v>
      </c>
      <c r="U64" s="12">
        <v>17</v>
      </c>
    </row>
    <row r="65" spans="11:21">
      <c r="K65" s="2" t="s">
        <v>67</v>
      </c>
      <c r="L65" s="12">
        <v>17</v>
      </c>
      <c r="T65" s="2" t="s">
        <v>68</v>
      </c>
      <c r="U65" s="12">
        <v>20</v>
      </c>
    </row>
    <row r="66" spans="11:21">
      <c r="K66" s="2" t="s">
        <v>68</v>
      </c>
      <c r="L66" s="12">
        <v>20</v>
      </c>
      <c r="T66" s="2" t="s">
        <v>69</v>
      </c>
      <c r="U66" s="12">
        <v>55</v>
      </c>
    </row>
    <row r="67" spans="11:21">
      <c r="K67" s="2" t="s">
        <v>69</v>
      </c>
      <c r="L67" s="12">
        <v>55</v>
      </c>
      <c r="T67" s="2" t="s">
        <v>70</v>
      </c>
      <c r="U67" s="12">
        <v>37</v>
      </c>
    </row>
    <row r="68" spans="11:21">
      <c r="K68" s="2" t="s">
        <v>70</v>
      </c>
      <c r="L68" s="12">
        <v>37</v>
      </c>
      <c r="T68" s="2" t="s">
        <v>71</v>
      </c>
      <c r="U68" s="12">
        <v>31</v>
      </c>
    </row>
    <row r="69" spans="11:21">
      <c r="K69" s="2" t="s">
        <v>71</v>
      </c>
      <c r="L69" s="12">
        <v>31</v>
      </c>
      <c r="T69" s="2" t="s">
        <v>72</v>
      </c>
      <c r="U69" s="12">
        <v>47</v>
      </c>
    </row>
    <row r="70" spans="11:21">
      <c r="K70" s="2" t="s">
        <v>72</v>
      </c>
      <c r="L70" s="12">
        <v>47</v>
      </c>
      <c r="T70" s="2" t="s">
        <v>73</v>
      </c>
      <c r="U70" s="12">
        <v>20</v>
      </c>
    </row>
    <row r="71" spans="11:21">
      <c r="K71" s="2" t="s">
        <v>73</v>
      </c>
      <c r="L71" s="12">
        <v>20</v>
      </c>
      <c r="T71" s="2" t="s">
        <v>74</v>
      </c>
      <c r="U71" s="12">
        <v>23</v>
      </c>
    </row>
    <row r="72" spans="11:21">
      <c r="K72" s="2" t="s">
        <v>74</v>
      </c>
      <c r="L72" s="12">
        <v>23</v>
      </c>
      <c r="T72" s="2" t="s">
        <v>75</v>
      </c>
      <c r="U72" s="12">
        <v>33</v>
      </c>
    </row>
    <row r="73" spans="11:21">
      <c r="K73" s="2" t="s">
        <v>75</v>
      </c>
      <c r="L73" s="12">
        <v>33</v>
      </c>
      <c r="T73" s="2" t="s">
        <v>76</v>
      </c>
      <c r="U73" s="12">
        <v>61</v>
      </c>
    </row>
    <row r="74" spans="11:21">
      <c r="K74" s="2" t="s">
        <v>76</v>
      </c>
      <c r="L74" s="12">
        <v>61</v>
      </c>
      <c r="T74" s="2" t="s">
        <v>77</v>
      </c>
      <c r="U74" s="12">
        <v>16</v>
      </c>
    </row>
    <row r="75" spans="11:21">
      <c r="K75" s="2" t="s">
        <v>77</v>
      </c>
      <c r="L75" s="12">
        <v>16</v>
      </c>
      <c r="T75" s="2" t="s">
        <v>78</v>
      </c>
      <c r="U75" s="12">
        <v>28</v>
      </c>
    </row>
    <row r="76" spans="11:21">
      <c r="K76" s="2" t="s">
        <v>78</v>
      </c>
      <c r="L76" s="12">
        <v>28</v>
      </c>
      <c r="T76" s="2" t="s">
        <v>79</v>
      </c>
      <c r="U76" s="12">
        <v>26</v>
      </c>
    </row>
    <row r="77" spans="11:21">
      <c r="K77" s="2" t="s">
        <v>79</v>
      </c>
      <c r="L77" s="12">
        <v>26</v>
      </c>
      <c r="T77" s="2" t="s">
        <v>80</v>
      </c>
      <c r="U77" s="12">
        <v>39</v>
      </c>
    </row>
    <row r="78" spans="11:21">
      <c r="K78" s="2" t="s">
        <v>80</v>
      </c>
      <c r="L78" s="12">
        <v>39</v>
      </c>
      <c r="T78" s="2" t="s">
        <v>81</v>
      </c>
      <c r="U78" s="12">
        <v>36</v>
      </c>
    </row>
    <row r="79" spans="11:21">
      <c r="K79" s="2" t="s">
        <v>81</v>
      </c>
      <c r="L79" s="12">
        <v>36</v>
      </c>
      <c r="T79" s="2" t="s">
        <v>82</v>
      </c>
      <c r="U79" s="12">
        <v>29</v>
      </c>
    </row>
    <row r="80" spans="11:21">
      <c r="K80" s="2" t="s">
        <v>82</v>
      </c>
      <c r="L80" s="12">
        <v>29</v>
      </c>
      <c r="T80" s="2" t="s">
        <v>83</v>
      </c>
      <c r="U80" s="12">
        <v>38</v>
      </c>
    </row>
    <row r="81" spans="11:21">
      <c r="K81" s="2" t="s">
        <v>83</v>
      </c>
      <c r="L81" s="12">
        <v>38</v>
      </c>
      <c r="T81" s="2" t="s">
        <v>84</v>
      </c>
      <c r="U81" s="12">
        <v>22</v>
      </c>
    </row>
    <row r="82" spans="11:21">
      <c r="K82" s="2" t="s">
        <v>84</v>
      </c>
      <c r="L82" s="12">
        <v>22</v>
      </c>
      <c r="T82" s="2" t="s">
        <v>85</v>
      </c>
      <c r="U82" s="12">
        <v>71</v>
      </c>
    </row>
    <row r="83" spans="11:21">
      <c r="K83" s="2" t="s">
        <v>85</v>
      </c>
      <c r="L83" s="12">
        <v>71</v>
      </c>
      <c r="T83" s="2" t="s">
        <v>86</v>
      </c>
      <c r="U83" s="12">
        <v>28</v>
      </c>
    </row>
    <row r="84" spans="11:21">
      <c r="K84" s="2" t="s">
        <v>86</v>
      </c>
      <c r="L84" s="12">
        <v>28</v>
      </c>
      <c r="T84" s="2" t="s">
        <v>87</v>
      </c>
      <c r="U84" s="12">
        <v>60</v>
      </c>
    </row>
    <row r="85" spans="11:21">
      <c r="K85" s="2" t="s">
        <v>87</v>
      </c>
      <c r="L85" s="12">
        <v>60</v>
      </c>
      <c r="T85" s="2" t="s">
        <v>88</v>
      </c>
      <c r="U85" s="12">
        <v>24</v>
      </c>
    </row>
    <row r="86" spans="11:21">
      <c r="K86" s="2" t="s">
        <v>88</v>
      </c>
      <c r="L86" s="12">
        <v>24</v>
      </c>
      <c r="T86" s="2" t="s">
        <v>89</v>
      </c>
      <c r="U86" s="12">
        <v>24</v>
      </c>
    </row>
    <row r="87" spans="11:21">
      <c r="K87" s="2" t="s">
        <v>89</v>
      </c>
      <c r="L87" s="12">
        <v>24</v>
      </c>
      <c r="T87" s="2" t="s">
        <v>90</v>
      </c>
      <c r="U87" s="12">
        <v>27</v>
      </c>
    </row>
    <row r="88" spans="11:21">
      <c r="K88" s="2" t="s">
        <v>90</v>
      </c>
      <c r="L88" s="12">
        <v>27</v>
      </c>
      <c r="T88" s="2" t="s">
        <v>91</v>
      </c>
      <c r="U88" s="12">
        <v>25</v>
      </c>
    </row>
    <row r="89" spans="11:21">
      <c r="K89" s="2" t="s">
        <v>91</v>
      </c>
      <c r="L89" s="12">
        <v>25</v>
      </c>
      <c r="T89" s="2" t="s">
        <v>92</v>
      </c>
      <c r="U89" s="12">
        <v>22</v>
      </c>
    </row>
    <row r="90" spans="11:21">
      <c r="K90" s="2" t="s">
        <v>92</v>
      </c>
      <c r="L90" s="12">
        <v>22</v>
      </c>
      <c r="T90" s="2" t="s">
        <v>93</v>
      </c>
      <c r="U90" s="12">
        <v>37</v>
      </c>
    </row>
    <row r="91" spans="11:21">
      <c r="K91" s="2" t="s">
        <v>93</v>
      </c>
      <c r="L91" s="12">
        <v>37</v>
      </c>
      <c r="T91" s="2" t="s">
        <v>94</v>
      </c>
      <c r="U91" s="12">
        <v>38</v>
      </c>
    </row>
    <row r="92" spans="11:21">
      <c r="K92" s="2" t="s">
        <v>94</v>
      </c>
      <c r="L92" s="12">
        <v>38</v>
      </c>
      <c r="T92" s="2" t="s">
        <v>95</v>
      </c>
      <c r="U92" s="12">
        <v>50</v>
      </c>
    </row>
    <row r="93" spans="11:21">
      <c r="K93" s="2" t="s">
        <v>95</v>
      </c>
      <c r="L93" s="12">
        <v>50</v>
      </c>
      <c r="T93" s="2" t="s">
        <v>96</v>
      </c>
      <c r="U93" s="12">
        <v>20</v>
      </c>
    </row>
    <row r="94" spans="11:21">
      <c r="K94" s="2" t="s">
        <v>96</v>
      </c>
      <c r="L94" s="12">
        <v>20</v>
      </c>
      <c r="T94" s="2" t="s">
        <v>97</v>
      </c>
      <c r="U94" s="12">
        <v>21</v>
      </c>
    </row>
    <row r="95" spans="11:21">
      <c r="K95" s="2" t="s">
        <v>97</v>
      </c>
      <c r="L95" s="12">
        <v>21</v>
      </c>
      <c r="T95" s="2" t="s">
        <v>98</v>
      </c>
      <c r="U95" s="12">
        <v>34</v>
      </c>
    </row>
    <row r="96" spans="11:21">
      <c r="K96" s="2" t="s">
        <v>98</v>
      </c>
      <c r="L96" s="12">
        <v>34</v>
      </c>
      <c r="T96" s="2" t="s">
        <v>99</v>
      </c>
      <c r="U96" s="12">
        <v>36</v>
      </c>
    </row>
    <row r="97" spans="11:21">
      <c r="K97" s="2" t="s">
        <v>99</v>
      </c>
      <c r="L97" s="12">
        <v>36</v>
      </c>
      <c r="T97" s="2" t="s">
        <v>100</v>
      </c>
      <c r="U97" s="12">
        <v>27</v>
      </c>
    </row>
    <row r="98" spans="11:21">
      <c r="K98" s="2" t="s">
        <v>100</v>
      </c>
      <c r="L98" s="12">
        <v>27</v>
      </c>
      <c r="T98" s="2" t="s">
        <v>101</v>
      </c>
      <c r="U98" s="12">
        <v>22</v>
      </c>
    </row>
    <row r="99" spans="11:21">
      <c r="K99" s="2" t="s">
        <v>101</v>
      </c>
      <c r="L99" s="12">
        <v>22</v>
      </c>
      <c r="T99" s="2" t="s">
        <v>102</v>
      </c>
      <c r="U99" s="12">
        <v>28</v>
      </c>
    </row>
    <row r="100" spans="11:21">
      <c r="K100" s="2" t="s">
        <v>102</v>
      </c>
      <c r="L100" s="12">
        <v>28</v>
      </c>
      <c r="T100" s="2" t="s">
        <v>103</v>
      </c>
      <c r="U100" s="12">
        <v>47</v>
      </c>
    </row>
    <row r="101" spans="11:21">
      <c r="K101" s="2" t="s">
        <v>103</v>
      </c>
      <c r="L101" s="12">
        <v>47</v>
      </c>
      <c r="T101" s="2" t="s">
        <v>104</v>
      </c>
      <c r="U101" s="12">
        <v>32</v>
      </c>
    </row>
    <row r="102" spans="11:21">
      <c r="K102" s="2" t="s">
        <v>104</v>
      </c>
      <c r="L102" s="12">
        <v>32</v>
      </c>
      <c r="T102" s="2" t="s">
        <v>105</v>
      </c>
      <c r="U102" s="12">
        <v>32</v>
      </c>
    </row>
    <row r="103" spans="11:21">
      <c r="K103" s="2" t="s">
        <v>105</v>
      </c>
      <c r="L103" s="12">
        <v>32</v>
      </c>
      <c r="T103" s="2" t="s">
        <v>106</v>
      </c>
      <c r="U103" s="12">
        <v>19</v>
      </c>
    </row>
    <row r="104" spans="11:21">
      <c r="K104" s="2" t="s">
        <v>106</v>
      </c>
      <c r="L104" s="12">
        <v>19</v>
      </c>
      <c r="T104" s="2" t="s">
        <v>107</v>
      </c>
      <c r="U104" s="12">
        <v>37</v>
      </c>
    </row>
    <row r="105" spans="11:21">
      <c r="K105" s="2" t="s">
        <v>107</v>
      </c>
      <c r="L105" s="12">
        <v>37</v>
      </c>
      <c r="T105" s="2" t="s">
        <v>108</v>
      </c>
      <c r="U105" s="12">
        <v>36</v>
      </c>
    </row>
    <row r="106" spans="11:21">
      <c r="K106" s="2" t="s">
        <v>108</v>
      </c>
      <c r="L106" s="12">
        <v>36</v>
      </c>
      <c r="T106" s="2" t="s">
        <v>109</v>
      </c>
      <c r="U106" s="12">
        <v>41</v>
      </c>
    </row>
    <row r="107" spans="11:21">
      <c r="K107" s="2" t="s">
        <v>109</v>
      </c>
      <c r="L107" s="12">
        <v>41</v>
      </c>
      <c r="T107" s="2" t="s">
        <v>110</v>
      </c>
      <c r="U107" s="12">
        <v>25</v>
      </c>
    </row>
    <row r="108" spans="11:21">
      <c r="K108" s="2" t="s">
        <v>110</v>
      </c>
      <c r="L108" s="12">
        <v>25</v>
      </c>
      <c r="T108" s="2" t="s">
        <v>111</v>
      </c>
      <c r="U108" s="12">
        <v>48</v>
      </c>
    </row>
    <row r="109" spans="11:21">
      <c r="K109" s="2" t="s">
        <v>111</v>
      </c>
      <c r="L109" s="12">
        <v>48</v>
      </c>
      <c r="T109" s="2" t="s">
        <v>112</v>
      </c>
      <c r="U109" s="12">
        <v>50</v>
      </c>
    </row>
    <row r="110" spans="11:21">
      <c r="K110" s="2" t="s">
        <v>112</v>
      </c>
      <c r="L110" s="12">
        <v>50</v>
      </c>
      <c r="T110" s="2" t="s">
        <v>113</v>
      </c>
      <c r="U110" s="12">
        <v>34</v>
      </c>
    </row>
    <row r="111" spans="11:21">
      <c r="K111" s="2" t="s">
        <v>113</v>
      </c>
      <c r="L111" s="12">
        <v>34</v>
      </c>
      <c r="T111" s="2" t="s">
        <v>114</v>
      </c>
      <c r="U111" s="12">
        <v>24</v>
      </c>
    </row>
    <row r="112" spans="11:21">
      <c r="K112" s="2" t="s">
        <v>114</v>
      </c>
      <c r="L112" s="12">
        <v>24</v>
      </c>
      <c r="T112" s="2" t="s">
        <v>115</v>
      </c>
      <c r="U112" s="12">
        <v>33</v>
      </c>
    </row>
    <row r="113" spans="11:21">
      <c r="K113" s="2" t="s">
        <v>115</v>
      </c>
      <c r="L113" s="12">
        <v>33</v>
      </c>
      <c r="T113" s="2" t="s">
        <v>116</v>
      </c>
      <c r="U113" s="12">
        <v>47</v>
      </c>
    </row>
    <row r="114" spans="11:21">
      <c r="K114" s="2" t="s">
        <v>116</v>
      </c>
      <c r="L114" s="12">
        <v>47</v>
      </c>
      <c r="T114" s="2" t="s">
        <v>117</v>
      </c>
      <c r="U114" s="12">
        <v>47</v>
      </c>
    </row>
    <row r="115" spans="11:21">
      <c r="K115" s="2" t="s">
        <v>117</v>
      </c>
      <c r="L115" s="12">
        <v>47</v>
      </c>
      <c r="T115" s="2" t="s">
        <v>118</v>
      </c>
      <c r="U115" s="12">
        <v>29</v>
      </c>
    </row>
    <row r="116" spans="11:21">
      <c r="K116" s="2" t="s">
        <v>118</v>
      </c>
      <c r="L116" s="12">
        <v>29</v>
      </c>
      <c r="T116" s="2" t="s">
        <v>119</v>
      </c>
      <c r="U116" s="12">
        <v>26</v>
      </c>
    </row>
    <row r="117" spans="11:21">
      <c r="K117" s="2" t="s">
        <v>119</v>
      </c>
      <c r="L117" s="12">
        <v>26</v>
      </c>
      <c r="T117" s="2" t="s">
        <v>120</v>
      </c>
      <c r="U117" s="12">
        <v>37</v>
      </c>
    </row>
    <row r="118" spans="11:21">
      <c r="K118" s="2" t="s">
        <v>120</v>
      </c>
      <c r="L118" s="12">
        <v>37</v>
      </c>
      <c r="T118" s="2" t="s">
        <v>121</v>
      </c>
      <c r="U118" s="12">
        <v>27</v>
      </c>
    </row>
    <row r="119" spans="11:21">
      <c r="K119" s="2" t="s">
        <v>121</v>
      </c>
      <c r="L119" s="12">
        <v>27</v>
      </c>
      <c r="T119" s="2" t="s">
        <v>122</v>
      </c>
      <c r="U119" s="12">
        <v>21</v>
      </c>
    </row>
    <row r="120" spans="11:21">
      <c r="K120" s="2" t="s">
        <v>122</v>
      </c>
      <c r="L120" s="12">
        <v>21</v>
      </c>
      <c r="T120" s="2" t="s">
        <v>123</v>
      </c>
      <c r="U120" s="12">
        <v>46</v>
      </c>
    </row>
    <row r="121" spans="11:21">
      <c r="K121" s="2" t="s">
        <v>123</v>
      </c>
      <c r="L121" s="12">
        <v>46</v>
      </c>
      <c r="T121" s="2" t="s">
        <v>124</v>
      </c>
      <c r="U121" s="12">
        <v>43</v>
      </c>
    </row>
    <row r="122" spans="11:21">
      <c r="K122" s="2" t="s">
        <v>124</v>
      </c>
      <c r="L122" s="12">
        <v>43</v>
      </c>
      <c r="T122" s="2" t="s">
        <v>125</v>
      </c>
      <c r="U122" s="12">
        <v>81</v>
      </c>
    </row>
    <row r="123" spans="11:21">
      <c r="K123" s="2" t="s">
        <v>125</v>
      </c>
      <c r="L123" s="12">
        <v>81</v>
      </c>
      <c r="T123" s="2" t="s">
        <v>126</v>
      </c>
      <c r="U123" s="12">
        <v>27</v>
      </c>
    </row>
    <row r="124" spans="11:21">
      <c r="K124" s="2" t="s">
        <v>126</v>
      </c>
      <c r="L124" s="12">
        <v>27</v>
      </c>
      <c r="T124" s="2" t="s">
        <v>127</v>
      </c>
      <c r="U124" s="12">
        <v>43</v>
      </c>
    </row>
    <row r="125" spans="11:21">
      <c r="K125" s="2" t="s">
        <v>127</v>
      </c>
      <c r="L125" s="12">
        <v>43</v>
      </c>
      <c r="T125" s="2" t="s">
        <v>128</v>
      </c>
      <c r="U125" s="12">
        <v>27</v>
      </c>
    </row>
    <row r="126" spans="11:21">
      <c r="K126" s="2" t="s">
        <v>128</v>
      </c>
      <c r="L126" s="12">
        <v>27</v>
      </c>
      <c r="T126" s="2" t="s">
        <v>129</v>
      </c>
      <c r="U126" s="12">
        <v>68</v>
      </c>
    </row>
    <row r="127" spans="11:21">
      <c r="K127" s="2" t="s">
        <v>129</v>
      </c>
      <c r="L127" s="12">
        <v>68</v>
      </c>
      <c r="T127" s="2" t="s">
        <v>130</v>
      </c>
      <c r="U127" s="12">
        <v>42</v>
      </c>
    </row>
    <row r="128" spans="11:21">
      <c r="K128" s="2" t="s">
        <v>130</v>
      </c>
      <c r="L128" s="12">
        <v>42</v>
      </c>
      <c r="T128" s="2" t="s">
        <v>131</v>
      </c>
      <c r="U128" s="12">
        <v>21</v>
      </c>
    </row>
    <row r="129" spans="11:21">
      <c r="K129" s="2" t="s">
        <v>131</v>
      </c>
      <c r="L129" s="12">
        <v>21</v>
      </c>
      <c r="T129" s="2" t="s">
        <v>132</v>
      </c>
      <c r="U129" s="12">
        <v>57</v>
      </c>
    </row>
    <row r="130" spans="11:21">
      <c r="K130" s="2" t="s">
        <v>132</v>
      </c>
      <c r="L130" s="12">
        <v>57</v>
      </c>
      <c r="T130" s="2" t="s">
        <v>133</v>
      </c>
      <c r="U130" s="12">
        <v>42</v>
      </c>
    </row>
    <row r="131" spans="11:21">
      <c r="K131" s="2" t="s">
        <v>133</v>
      </c>
      <c r="L131" s="12">
        <v>42</v>
      </c>
      <c r="T131" s="2" t="s">
        <v>134</v>
      </c>
      <c r="U131" s="12">
        <v>43</v>
      </c>
    </row>
    <row r="132" spans="11:21">
      <c r="K132" s="2" t="s">
        <v>134</v>
      </c>
      <c r="L132" s="12">
        <v>43</v>
      </c>
      <c r="T132" s="2" t="s">
        <v>135</v>
      </c>
      <c r="U132" s="12">
        <v>32</v>
      </c>
    </row>
    <row r="133" spans="11:21">
      <c r="K133" s="2" t="s">
        <v>135</v>
      </c>
      <c r="L133" s="12">
        <v>32</v>
      </c>
      <c r="T133" s="2" t="s">
        <v>136</v>
      </c>
      <c r="U133" s="12">
        <v>23</v>
      </c>
    </row>
    <row r="134" spans="11:21">
      <c r="K134" s="2" t="s">
        <v>136</v>
      </c>
      <c r="L134" s="12">
        <v>23</v>
      </c>
      <c r="T134" s="2" t="s">
        <v>137</v>
      </c>
      <c r="U134" s="12">
        <v>28</v>
      </c>
    </row>
    <row r="135" spans="11:21">
      <c r="K135" s="2" t="s">
        <v>137</v>
      </c>
      <c r="L135" s="12">
        <v>28</v>
      </c>
      <c r="T135" s="2" t="s">
        <v>138</v>
      </c>
      <c r="U135" s="12">
        <v>32</v>
      </c>
    </row>
    <row r="136" spans="11:21">
      <c r="K136" s="2" t="s">
        <v>138</v>
      </c>
      <c r="L136" s="12">
        <v>32</v>
      </c>
      <c r="T136" s="2" t="s">
        <v>139</v>
      </c>
      <c r="U136" s="12">
        <v>32</v>
      </c>
    </row>
    <row r="137" spans="11:21">
      <c r="K137" s="2" t="s">
        <v>139</v>
      </c>
      <c r="L137" s="12">
        <v>32</v>
      </c>
      <c r="T137" s="2" t="s">
        <v>140</v>
      </c>
      <c r="U137" s="12">
        <v>20</v>
      </c>
    </row>
    <row r="138" spans="11:21">
      <c r="K138" s="2" t="s">
        <v>140</v>
      </c>
      <c r="L138" s="12">
        <v>20</v>
      </c>
      <c r="T138" s="2" t="s">
        <v>141</v>
      </c>
      <c r="U138" s="12">
        <v>50</v>
      </c>
    </row>
    <row r="139" spans="11:21">
      <c r="K139" s="2" t="s">
        <v>141</v>
      </c>
      <c r="L139" s="12">
        <v>50</v>
      </c>
      <c r="T139" s="2" t="s">
        <v>142</v>
      </c>
      <c r="U139" s="12">
        <v>29</v>
      </c>
    </row>
    <row r="140" spans="11:21">
      <c r="K140" s="2" t="s">
        <v>142</v>
      </c>
      <c r="L140" s="12">
        <v>29</v>
      </c>
      <c r="T140" s="2" t="s">
        <v>143</v>
      </c>
      <c r="U140" s="12">
        <v>32</v>
      </c>
    </row>
    <row r="141" spans="11:21">
      <c r="K141" s="2" t="s">
        <v>143</v>
      </c>
      <c r="L141" s="12">
        <v>32</v>
      </c>
      <c r="T141" s="2" t="s">
        <v>144</v>
      </c>
      <c r="U141" s="12">
        <v>47</v>
      </c>
    </row>
    <row r="142" spans="11:21">
      <c r="K142" s="2" t="s">
        <v>144</v>
      </c>
      <c r="L142" s="12">
        <v>47</v>
      </c>
      <c r="T142" s="2" t="s">
        <v>145</v>
      </c>
      <c r="U142" s="12">
        <v>22</v>
      </c>
    </row>
    <row r="143" spans="11:21">
      <c r="K143" s="2" t="s">
        <v>145</v>
      </c>
      <c r="L143" s="12">
        <v>22</v>
      </c>
      <c r="T143" s="2" t="s">
        <v>146</v>
      </c>
      <c r="U143" s="12">
        <v>25</v>
      </c>
    </row>
    <row r="144" spans="11:21">
      <c r="K144" s="2" t="s">
        <v>146</v>
      </c>
      <c r="L144" s="12">
        <v>25</v>
      </c>
      <c r="T144" s="2" t="s">
        <v>147</v>
      </c>
      <c r="U144" s="12">
        <v>30</v>
      </c>
    </row>
    <row r="145" spans="11:21">
      <c r="K145" s="2" t="s">
        <v>147</v>
      </c>
      <c r="L145" s="12">
        <v>30</v>
      </c>
      <c r="T145" s="2" t="s">
        <v>148</v>
      </c>
      <c r="U145" s="12">
        <v>48</v>
      </c>
    </row>
    <row r="146" spans="11:21">
      <c r="K146" s="2" t="s">
        <v>148</v>
      </c>
      <c r="L146" s="12">
        <v>48</v>
      </c>
      <c r="T146" s="2" t="s">
        <v>149</v>
      </c>
      <c r="U146" s="12">
        <v>32</v>
      </c>
    </row>
    <row r="147" spans="11:21">
      <c r="K147" s="2" t="s">
        <v>149</v>
      </c>
      <c r="L147" s="12">
        <v>32</v>
      </c>
      <c r="T147" s="2" t="s">
        <v>150</v>
      </c>
      <c r="U147" s="12">
        <v>24</v>
      </c>
    </row>
    <row r="148" spans="11:21">
      <c r="K148" s="2" t="s">
        <v>150</v>
      </c>
      <c r="L148" s="12">
        <v>24</v>
      </c>
      <c r="T148" s="2" t="s">
        <v>151</v>
      </c>
      <c r="U148" s="12">
        <v>35</v>
      </c>
    </row>
    <row r="149" spans="11:21">
      <c r="K149" s="2" t="s">
        <v>151</v>
      </c>
      <c r="L149" s="12">
        <v>35</v>
      </c>
      <c r="T149" s="2" t="s">
        <v>152</v>
      </c>
      <c r="U149" s="12">
        <v>47</v>
      </c>
    </row>
    <row r="150" spans="11:21">
      <c r="K150" s="2" t="s">
        <v>152</v>
      </c>
      <c r="L150" s="12">
        <v>47</v>
      </c>
      <c r="T150" s="2" t="s">
        <v>153</v>
      </c>
      <c r="U150" s="12">
        <v>43</v>
      </c>
    </row>
    <row r="151" spans="11:21">
      <c r="K151" s="2" t="s">
        <v>153</v>
      </c>
      <c r="L151" s="12">
        <v>43</v>
      </c>
      <c r="T151" s="2" t="s">
        <v>154</v>
      </c>
      <c r="U151" s="12">
        <v>28</v>
      </c>
    </row>
    <row r="152" spans="11:21">
      <c r="K152" s="2" t="s">
        <v>154</v>
      </c>
      <c r="L152" s="12">
        <v>28</v>
      </c>
      <c r="T152" s="2" t="s">
        <v>155</v>
      </c>
      <c r="U152" s="12">
        <v>49</v>
      </c>
    </row>
    <row r="153" spans="11:21">
      <c r="K153" s="2" t="s">
        <v>155</v>
      </c>
      <c r="L153" s="12">
        <v>49</v>
      </c>
      <c r="T153" s="2" t="s">
        <v>156</v>
      </c>
      <c r="U153" s="12">
        <v>83</v>
      </c>
    </row>
    <row r="154" spans="11:21">
      <c r="K154" s="2" t="s">
        <v>156</v>
      </c>
      <c r="L154" s="12">
        <v>83</v>
      </c>
      <c r="T154" s="2" t="s">
        <v>157</v>
      </c>
      <c r="U154" s="12">
        <v>55</v>
      </c>
    </row>
    <row r="155" spans="11:21">
      <c r="K155" s="2" t="s">
        <v>157</v>
      </c>
      <c r="L155" s="12">
        <v>55</v>
      </c>
      <c r="T155" s="2" t="s">
        <v>158</v>
      </c>
      <c r="U155" s="12">
        <v>30</v>
      </c>
    </row>
    <row r="156" spans="11:21">
      <c r="K156" s="2" t="s">
        <v>158</v>
      </c>
      <c r="L156" s="12">
        <v>30</v>
      </c>
      <c r="T156" s="2" t="s">
        <v>159</v>
      </c>
      <c r="U156" s="12">
        <v>27</v>
      </c>
    </row>
    <row r="157" spans="11:21">
      <c r="K157" s="2" t="s">
        <v>159</v>
      </c>
      <c r="L157" s="12">
        <v>27</v>
      </c>
      <c r="T157" s="2" t="s">
        <v>160</v>
      </c>
      <c r="U157" s="12">
        <v>33</v>
      </c>
    </row>
    <row r="158" spans="11:21">
      <c r="K158" s="2" t="s">
        <v>160</v>
      </c>
      <c r="L158" s="12">
        <v>33</v>
      </c>
      <c r="T158" s="2" t="s">
        <v>161</v>
      </c>
      <c r="U158" s="12">
        <v>50</v>
      </c>
    </row>
    <row r="159" spans="11:21">
      <c r="K159" s="2" t="s">
        <v>161</v>
      </c>
      <c r="L159" s="12">
        <v>50</v>
      </c>
      <c r="T159" s="2" t="s">
        <v>162</v>
      </c>
      <c r="U159" s="12">
        <v>35</v>
      </c>
    </row>
    <row r="160" spans="11:21">
      <c r="K160" s="2" t="s">
        <v>162</v>
      </c>
      <c r="L160" s="12">
        <v>35</v>
      </c>
      <c r="T160" s="2" t="s">
        <v>163</v>
      </c>
      <c r="U160" s="12">
        <v>38</v>
      </c>
    </row>
    <row r="161" spans="11:21">
      <c r="K161" s="2" t="s">
        <v>163</v>
      </c>
      <c r="L161" s="12">
        <v>38</v>
      </c>
      <c r="T161" s="2" t="s">
        <v>164</v>
      </c>
      <c r="U161" s="12">
        <v>40</v>
      </c>
    </row>
    <row r="162" spans="11:21">
      <c r="K162" s="2" t="s">
        <v>164</v>
      </c>
      <c r="L162" s="12">
        <v>40</v>
      </c>
      <c r="T162" s="2" t="s">
        <v>165</v>
      </c>
      <c r="U162" s="12">
        <v>42</v>
      </c>
    </row>
    <row r="163" spans="11:21">
      <c r="K163" s="2" t="s">
        <v>165</v>
      </c>
      <c r="L163" s="12">
        <v>42</v>
      </c>
      <c r="T163" s="2" t="s">
        <v>166</v>
      </c>
      <c r="U163" s="12">
        <v>32</v>
      </c>
    </row>
    <row r="164" spans="11:21">
      <c r="K164" s="2" t="s">
        <v>166</v>
      </c>
      <c r="L164" s="12">
        <v>32</v>
      </c>
      <c r="T164" s="2" t="s">
        <v>167</v>
      </c>
      <c r="U164" s="12">
        <v>56</v>
      </c>
    </row>
    <row r="165" spans="11:21">
      <c r="K165" s="2" t="s">
        <v>167</v>
      </c>
      <c r="L165" s="12">
        <v>56</v>
      </c>
      <c r="T165" s="2" t="s">
        <v>168</v>
      </c>
      <c r="U165" s="12">
        <v>51</v>
      </c>
    </row>
    <row r="166" spans="11:21">
      <c r="K166" s="2" t="s">
        <v>168</v>
      </c>
      <c r="L166" s="12">
        <v>51</v>
      </c>
      <c r="T166" s="2" t="s">
        <v>169</v>
      </c>
      <c r="U166" s="12">
        <v>27</v>
      </c>
    </row>
    <row r="167" spans="11:21">
      <c r="K167" s="2" t="s">
        <v>169</v>
      </c>
      <c r="L167" s="12">
        <v>27</v>
      </c>
      <c r="T167" s="2" t="s">
        <v>170</v>
      </c>
      <c r="U167" s="12">
        <v>25</v>
      </c>
    </row>
    <row r="168" spans="11:21">
      <c r="K168" s="2" t="s">
        <v>170</v>
      </c>
      <c r="L168" s="12">
        <v>25</v>
      </c>
      <c r="T168" s="2" t="s">
        <v>171</v>
      </c>
      <c r="U168" s="12">
        <v>61</v>
      </c>
    </row>
    <row r="169" spans="11:21">
      <c r="K169" s="2" t="s">
        <v>171</v>
      </c>
      <c r="L169" s="12">
        <v>61</v>
      </c>
      <c r="T169" s="2" t="s">
        <v>172</v>
      </c>
      <c r="U169" s="12">
        <v>44</v>
      </c>
    </row>
    <row r="170" spans="11:21">
      <c r="K170" s="2" t="s">
        <v>172</v>
      </c>
      <c r="L170" s="12">
        <v>44</v>
      </c>
      <c r="T170" s="2" t="s">
        <v>173</v>
      </c>
      <c r="U170" s="12">
        <v>24</v>
      </c>
    </row>
    <row r="171" spans="11:21">
      <c r="K171" s="2" t="s">
        <v>173</v>
      </c>
      <c r="L171" s="12">
        <v>24</v>
      </c>
      <c r="T171" s="2" t="s">
        <v>174</v>
      </c>
      <c r="U171" s="12">
        <v>19</v>
      </c>
    </row>
    <row r="172" spans="11:21">
      <c r="K172" s="2" t="s">
        <v>174</v>
      </c>
      <c r="L172" s="12">
        <v>19</v>
      </c>
      <c r="T172" s="2" t="s">
        <v>175</v>
      </c>
      <c r="U172" s="12">
        <v>21</v>
      </c>
    </row>
    <row r="173" spans="11:21">
      <c r="K173" s="2" t="s">
        <v>175</v>
      </c>
      <c r="L173" s="12">
        <v>21</v>
      </c>
      <c r="T173" s="2" t="s">
        <v>176</v>
      </c>
      <c r="U173" s="12">
        <v>49</v>
      </c>
    </row>
    <row r="174" spans="11:21">
      <c r="K174" s="2" t="s">
        <v>176</v>
      </c>
      <c r="L174" s="12">
        <v>49</v>
      </c>
      <c r="T174" s="2" t="s">
        <v>177</v>
      </c>
      <c r="U174" s="12">
        <v>46</v>
      </c>
    </row>
    <row r="175" spans="11:21">
      <c r="K175" s="2" t="s">
        <v>177</v>
      </c>
      <c r="L175" s="12">
        <v>46</v>
      </c>
      <c r="T175" s="2" t="s">
        <v>178</v>
      </c>
      <c r="U175" s="12">
        <v>34</v>
      </c>
    </row>
    <row r="176" spans="11:21">
      <c r="K176" s="2" t="s">
        <v>178</v>
      </c>
      <c r="L176" s="12">
        <v>34</v>
      </c>
      <c r="T176" s="2" t="s">
        <v>179</v>
      </c>
      <c r="U176" s="12">
        <v>42</v>
      </c>
    </row>
    <row r="177" spans="11:21">
      <c r="K177" s="2" t="s">
        <v>179</v>
      </c>
      <c r="L177" s="12">
        <v>42</v>
      </c>
      <c r="T177" s="2" t="s">
        <v>180</v>
      </c>
      <c r="U177" s="12">
        <v>25</v>
      </c>
    </row>
    <row r="178" spans="11:21">
      <c r="K178" s="2" t="s">
        <v>180</v>
      </c>
      <c r="L178" s="12">
        <v>25</v>
      </c>
      <c r="T178" s="2" t="s">
        <v>181</v>
      </c>
      <c r="U178" s="12">
        <v>28</v>
      </c>
    </row>
    <row r="179" spans="11:21">
      <c r="K179" s="2" t="s">
        <v>181</v>
      </c>
      <c r="L179" s="12">
        <v>28</v>
      </c>
      <c r="T179" s="2" t="s">
        <v>182</v>
      </c>
      <c r="U179" s="12">
        <v>54</v>
      </c>
    </row>
    <row r="180" spans="11:21">
      <c r="K180" s="2" t="s">
        <v>182</v>
      </c>
      <c r="L180" s="12">
        <v>54</v>
      </c>
      <c r="T180" s="2" t="s">
        <v>183</v>
      </c>
      <c r="U180" s="12">
        <v>36</v>
      </c>
    </row>
    <row r="181" spans="11:21">
      <c r="K181" s="2" t="s">
        <v>183</v>
      </c>
      <c r="L181" s="12">
        <v>36</v>
      </c>
      <c r="T181" s="2" t="s">
        <v>184</v>
      </c>
      <c r="U181" s="12">
        <v>32</v>
      </c>
    </row>
    <row r="182" spans="11:21">
      <c r="K182" s="2" t="s">
        <v>184</v>
      </c>
      <c r="L182" s="12">
        <v>32</v>
      </c>
      <c r="T182" s="2" t="s">
        <v>185</v>
      </c>
      <c r="U182" s="12">
        <v>20</v>
      </c>
    </row>
    <row r="183" spans="11:21">
      <c r="K183" s="2" t="s">
        <v>185</v>
      </c>
      <c r="L183" s="12">
        <v>20</v>
      </c>
      <c r="T183" s="2" t="s">
        <v>186</v>
      </c>
      <c r="U183" s="12">
        <v>44</v>
      </c>
    </row>
    <row r="184" spans="11:21">
      <c r="K184" s="2" t="s">
        <v>186</v>
      </c>
      <c r="L184" s="12">
        <v>44</v>
      </c>
      <c r="T184" s="2" t="s">
        <v>187</v>
      </c>
      <c r="U184" s="12">
        <v>65</v>
      </c>
    </row>
    <row r="185" spans="11:21">
      <c r="K185" s="2" t="s">
        <v>187</v>
      </c>
      <c r="L185" s="12">
        <v>65</v>
      </c>
      <c r="T185" s="2" t="s">
        <v>188</v>
      </c>
      <c r="U185" s="12">
        <v>46</v>
      </c>
    </row>
    <row r="186" spans="11:21">
      <c r="K186" s="2" t="s">
        <v>188</v>
      </c>
      <c r="L186" s="12">
        <v>46</v>
      </c>
      <c r="T186" s="2" t="s">
        <v>189</v>
      </c>
      <c r="U186" s="12">
        <v>32</v>
      </c>
    </row>
    <row r="187" spans="11:21">
      <c r="K187" s="2" t="s">
        <v>189</v>
      </c>
      <c r="L187" s="12">
        <v>32</v>
      </c>
      <c r="T187" s="2" t="s">
        <v>190</v>
      </c>
      <c r="U187" s="12">
        <v>22</v>
      </c>
    </row>
    <row r="188" spans="11:21">
      <c r="K188" s="2" t="s">
        <v>190</v>
      </c>
      <c r="L188" s="12">
        <v>22</v>
      </c>
      <c r="T188" s="2" t="s">
        <v>191</v>
      </c>
      <c r="U188" s="12">
        <v>32</v>
      </c>
    </row>
    <row r="189" spans="11:21">
      <c r="K189" s="2" t="s">
        <v>191</v>
      </c>
      <c r="L189" s="12">
        <v>32</v>
      </c>
      <c r="T189" s="2" t="s">
        <v>192</v>
      </c>
      <c r="U189" s="12">
        <v>60</v>
      </c>
    </row>
    <row r="190" spans="11:21">
      <c r="K190" s="2" t="s">
        <v>192</v>
      </c>
      <c r="L190" s="12">
        <v>60</v>
      </c>
      <c r="T190" s="2" t="s">
        <v>193</v>
      </c>
      <c r="U190" s="12">
        <v>56</v>
      </c>
    </row>
    <row r="191" spans="11:21">
      <c r="K191" s="2" t="s">
        <v>193</v>
      </c>
      <c r="L191" s="12">
        <v>56</v>
      </c>
      <c r="T191" s="2" t="s">
        <v>194</v>
      </c>
      <c r="U191" s="12">
        <v>19</v>
      </c>
    </row>
    <row r="192" spans="11:21">
      <c r="K192" s="2" t="s">
        <v>194</v>
      </c>
      <c r="L192" s="12">
        <v>19</v>
      </c>
      <c r="T192" s="2" t="s">
        <v>195</v>
      </c>
      <c r="U192" s="12">
        <v>28</v>
      </c>
    </row>
    <row r="193" spans="11:21">
      <c r="K193" s="2" t="s">
        <v>195</v>
      </c>
      <c r="L193" s="12">
        <v>28</v>
      </c>
      <c r="T193" s="2" t="s">
        <v>196</v>
      </c>
      <c r="U193" s="12">
        <v>58</v>
      </c>
    </row>
    <row r="194" spans="11:21">
      <c r="K194" s="2" t="s">
        <v>196</v>
      </c>
      <c r="L194" s="12">
        <v>58</v>
      </c>
      <c r="T194" s="2" t="s">
        <v>197</v>
      </c>
      <c r="U194" s="12">
        <v>33</v>
      </c>
    </row>
    <row r="195" spans="11:21">
      <c r="K195" s="2" t="s">
        <v>197</v>
      </c>
      <c r="L195" s="12">
        <v>33</v>
      </c>
      <c r="T195" s="2" t="s">
        <v>198</v>
      </c>
      <c r="U195" s="12">
        <v>36</v>
      </c>
    </row>
    <row r="196" spans="11:21">
      <c r="K196" s="2" t="s">
        <v>198</v>
      </c>
      <c r="L196" s="12">
        <v>36</v>
      </c>
      <c r="T196" s="2" t="s">
        <v>199</v>
      </c>
      <c r="U196" s="12">
        <v>31</v>
      </c>
    </row>
    <row r="197" spans="11:21">
      <c r="K197" s="2" t="s">
        <v>199</v>
      </c>
      <c r="L197" s="12">
        <v>31</v>
      </c>
      <c r="T197" s="2" t="s">
        <v>200</v>
      </c>
      <c r="U197" s="12">
        <v>27</v>
      </c>
    </row>
    <row r="198" spans="11:21">
      <c r="K198" s="2" t="s">
        <v>200</v>
      </c>
      <c r="L198" s="12">
        <v>27</v>
      </c>
      <c r="T198" s="2" t="s">
        <v>201</v>
      </c>
      <c r="U198" s="12">
        <v>62</v>
      </c>
    </row>
    <row r="199" spans="11:21">
      <c r="K199" s="2" t="s">
        <v>201</v>
      </c>
      <c r="L199" s="12">
        <v>62</v>
      </c>
      <c r="T199" s="2" t="s">
        <v>202</v>
      </c>
      <c r="U199" s="12">
        <v>25</v>
      </c>
    </row>
    <row r="200" spans="11:21">
      <c r="K200" s="2" t="s">
        <v>202</v>
      </c>
      <c r="L200" s="12">
        <v>25</v>
      </c>
      <c r="T200" s="2" t="s">
        <v>203</v>
      </c>
      <c r="U200" s="12">
        <v>42</v>
      </c>
    </row>
    <row r="201" spans="11:21">
      <c r="K201" s="2" t="s">
        <v>203</v>
      </c>
      <c r="L201" s="12">
        <v>42</v>
      </c>
      <c r="T201" s="2" t="s">
        <v>204</v>
      </c>
      <c r="U201" s="12">
        <v>41</v>
      </c>
    </row>
    <row r="202" spans="11:21">
      <c r="K202" s="2" t="s">
        <v>204</v>
      </c>
      <c r="L202" s="12">
        <v>41</v>
      </c>
      <c r="T202" s="2" t="s">
        <v>205</v>
      </c>
      <c r="U202" s="12">
        <v>37</v>
      </c>
    </row>
    <row r="203" spans="11:21">
      <c r="K203" s="2" t="s">
        <v>205</v>
      </c>
      <c r="L203" s="12">
        <v>37</v>
      </c>
      <c r="T203" s="2" t="s">
        <v>206</v>
      </c>
      <c r="U203" s="12">
        <v>24</v>
      </c>
    </row>
    <row r="204" spans="11:21">
      <c r="K204" s="2" t="s">
        <v>206</v>
      </c>
      <c r="L204" s="12">
        <v>24</v>
      </c>
      <c r="T204" s="2" t="s">
        <v>207</v>
      </c>
      <c r="U204" s="12">
        <v>32</v>
      </c>
    </row>
    <row r="205" spans="11:21">
      <c r="K205" s="2" t="s">
        <v>207</v>
      </c>
      <c r="L205" s="12">
        <v>32</v>
      </c>
      <c r="T205" s="2" t="s">
        <v>208</v>
      </c>
      <c r="U205" s="12">
        <v>32</v>
      </c>
    </row>
    <row r="206" spans="11:21">
      <c r="K206" s="2" t="s">
        <v>208</v>
      </c>
      <c r="L206" s="12">
        <v>32</v>
      </c>
      <c r="T206" s="2" t="s">
        <v>209</v>
      </c>
      <c r="U206" s="12">
        <v>33</v>
      </c>
    </row>
    <row r="207" spans="11:21">
      <c r="K207" s="2" t="s">
        <v>209</v>
      </c>
      <c r="L207" s="12">
        <v>33</v>
      </c>
      <c r="T207" s="2" t="s">
        <v>210</v>
      </c>
      <c r="U207" s="12">
        <v>27</v>
      </c>
    </row>
    <row r="208" spans="11:21">
      <c r="K208" s="2" t="s">
        <v>210</v>
      </c>
      <c r="L208" s="12">
        <v>27</v>
      </c>
      <c r="T208" s="2" t="s">
        <v>211</v>
      </c>
      <c r="U208" s="12">
        <v>24</v>
      </c>
    </row>
    <row r="209" spans="11:21">
      <c r="K209" s="2" t="s">
        <v>211</v>
      </c>
      <c r="L209" s="12">
        <v>24</v>
      </c>
      <c r="T209" s="2" t="s">
        <v>212</v>
      </c>
      <c r="U209" s="12">
        <v>33</v>
      </c>
    </row>
    <row r="210" spans="11:21">
      <c r="K210" s="2" t="s">
        <v>212</v>
      </c>
      <c r="L210" s="12">
        <v>33</v>
      </c>
      <c r="T210" s="2" t="s">
        <v>213</v>
      </c>
      <c r="U210" s="12">
        <v>27</v>
      </c>
    </row>
    <row r="211" spans="11:21">
      <c r="K211" s="2" t="s">
        <v>213</v>
      </c>
      <c r="L211" s="12">
        <v>27</v>
      </c>
      <c r="T211" s="2" t="s">
        <v>214</v>
      </c>
      <c r="U211" s="12">
        <v>30</v>
      </c>
    </row>
    <row r="212" spans="11:21">
      <c r="K212" s="2" t="s">
        <v>214</v>
      </c>
      <c r="L212" s="12">
        <v>30</v>
      </c>
      <c r="T212" s="2" t="s">
        <v>215</v>
      </c>
      <c r="U212" s="12">
        <v>48</v>
      </c>
    </row>
    <row r="213" spans="11:21">
      <c r="K213" s="2" t="s">
        <v>215</v>
      </c>
      <c r="L213" s="12">
        <v>48</v>
      </c>
      <c r="T213" s="2" t="s">
        <v>216</v>
      </c>
      <c r="U213" s="12">
        <v>45</v>
      </c>
    </row>
    <row r="214" spans="11:21">
      <c r="K214" s="2" t="s">
        <v>216</v>
      </c>
      <c r="L214" s="12">
        <v>45</v>
      </c>
      <c r="T214" s="2" t="s">
        <v>217</v>
      </c>
      <c r="U214" s="12">
        <v>49</v>
      </c>
    </row>
    <row r="215" spans="11:21">
      <c r="K215" s="2" t="s">
        <v>217</v>
      </c>
      <c r="L215" s="12">
        <v>49</v>
      </c>
      <c r="T215" s="2" t="s">
        <v>218</v>
      </c>
      <c r="U215" s="12">
        <v>20</v>
      </c>
    </row>
    <row r="216" spans="11:21">
      <c r="K216" s="2" t="s">
        <v>218</v>
      </c>
      <c r="L216" s="12">
        <v>20</v>
      </c>
      <c r="T216" s="2" t="s">
        <v>219</v>
      </c>
      <c r="U216" s="12">
        <v>40</v>
      </c>
    </row>
    <row r="217" spans="11:21">
      <c r="K217" s="2" t="s">
        <v>219</v>
      </c>
      <c r="L217" s="12">
        <v>40</v>
      </c>
      <c r="T217" s="2" t="s">
        <v>220</v>
      </c>
      <c r="U217" s="12">
        <v>23</v>
      </c>
    </row>
    <row r="218" spans="11:21">
      <c r="K218" s="2" t="s">
        <v>220</v>
      </c>
      <c r="L218" s="12">
        <v>23</v>
      </c>
      <c r="T218" s="2" t="s">
        <v>221</v>
      </c>
      <c r="U218" s="12">
        <v>43</v>
      </c>
    </row>
    <row r="219" spans="11:21">
      <c r="K219" s="2" t="s">
        <v>221</v>
      </c>
      <c r="L219" s="12">
        <v>43</v>
      </c>
      <c r="T219" s="2" t="s">
        <v>222</v>
      </c>
      <c r="U219" s="12">
        <v>23</v>
      </c>
    </row>
    <row r="220" spans="11:21">
      <c r="K220" s="2" t="s">
        <v>222</v>
      </c>
      <c r="L220" s="12">
        <v>23</v>
      </c>
      <c r="T220" s="2" t="s">
        <v>223</v>
      </c>
      <c r="U220" s="12">
        <v>30</v>
      </c>
    </row>
    <row r="221" spans="11:21">
      <c r="K221" s="2" t="s">
        <v>223</v>
      </c>
      <c r="L221" s="12">
        <v>30</v>
      </c>
      <c r="T221" s="2" t="s">
        <v>224</v>
      </c>
      <c r="U221" s="12">
        <v>67</v>
      </c>
    </row>
    <row r="222" spans="11:21">
      <c r="K222" s="2" t="s">
        <v>224</v>
      </c>
      <c r="L222" s="12">
        <v>67</v>
      </c>
      <c r="T222" s="2" t="s">
        <v>225</v>
      </c>
      <c r="U222" s="12">
        <v>53</v>
      </c>
    </row>
    <row r="223" spans="11:21">
      <c r="K223" s="2" t="s">
        <v>225</v>
      </c>
      <c r="L223" s="12">
        <v>53</v>
      </c>
      <c r="T223" s="2" t="s">
        <v>226</v>
      </c>
      <c r="U223" s="12">
        <v>32</v>
      </c>
    </row>
    <row r="224" spans="11:21">
      <c r="K224" s="2" t="s">
        <v>226</v>
      </c>
      <c r="L224" s="12">
        <v>32</v>
      </c>
      <c r="T224" s="2" t="s">
        <v>227</v>
      </c>
      <c r="U224" s="12">
        <v>32</v>
      </c>
    </row>
    <row r="225" spans="11:21">
      <c r="K225" s="2" t="s">
        <v>227</v>
      </c>
      <c r="L225" s="12">
        <v>32</v>
      </c>
      <c r="T225" s="2" t="s">
        <v>228</v>
      </c>
      <c r="U225" s="12">
        <v>35</v>
      </c>
    </row>
    <row r="226" spans="11:21">
      <c r="K226" s="2" t="s">
        <v>228</v>
      </c>
      <c r="L226" s="12">
        <v>35</v>
      </c>
      <c r="T226" s="2" t="s">
        <v>229</v>
      </c>
      <c r="U226" s="12">
        <v>40</v>
      </c>
    </row>
    <row r="227" spans="11:21">
      <c r="K227" s="2" t="s">
        <v>229</v>
      </c>
      <c r="L227" s="12">
        <v>40</v>
      </c>
      <c r="T227" s="2" t="s">
        <v>230</v>
      </c>
      <c r="U227" s="12">
        <v>26</v>
      </c>
    </row>
    <row r="228" spans="11:21">
      <c r="K228" s="2" t="s">
        <v>230</v>
      </c>
      <c r="L228" s="12">
        <v>26</v>
      </c>
      <c r="T228" s="2" t="s">
        <v>231</v>
      </c>
      <c r="U228" s="12">
        <v>32</v>
      </c>
    </row>
    <row r="229" spans="11:21">
      <c r="K229" s="2" t="s">
        <v>231</v>
      </c>
      <c r="L229" s="12">
        <v>32</v>
      </c>
      <c r="T229" s="2" t="s">
        <v>232</v>
      </c>
      <c r="U229" s="12">
        <v>25</v>
      </c>
    </row>
    <row r="230" spans="11:21">
      <c r="K230" s="2" t="s">
        <v>232</v>
      </c>
      <c r="L230" s="12">
        <v>25</v>
      </c>
      <c r="T230" s="2" t="s">
        <v>233</v>
      </c>
      <c r="U230" s="12">
        <v>32</v>
      </c>
    </row>
    <row r="231" spans="11:21">
      <c r="K231" s="2" t="s">
        <v>233</v>
      </c>
      <c r="L231" s="12">
        <v>32</v>
      </c>
      <c r="T231" s="2" t="s">
        <v>234</v>
      </c>
      <c r="U231" s="12">
        <v>59</v>
      </c>
    </row>
    <row r="232" spans="11:21">
      <c r="K232" s="2" t="s">
        <v>234</v>
      </c>
      <c r="L232" s="12">
        <v>59</v>
      </c>
      <c r="T232" s="2" t="s">
        <v>235</v>
      </c>
      <c r="U232" s="12">
        <v>50</v>
      </c>
    </row>
    <row r="233" spans="11:21">
      <c r="K233" s="2" t="s">
        <v>235</v>
      </c>
      <c r="L233" s="12">
        <v>50</v>
      </c>
      <c r="T233" s="2" t="s">
        <v>236</v>
      </c>
      <c r="U233" s="12">
        <v>21</v>
      </c>
    </row>
    <row r="234" spans="11:21">
      <c r="K234" s="2" t="s">
        <v>236</v>
      </c>
      <c r="L234" s="12">
        <v>21</v>
      </c>
      <c r="T234" s="2" t="s">
        <v>237</v>
      </c>
      <c r="U234" s="12">
        <v>34</v>
      </c>
    </row>
    <row r="235" spans="11:21">
      <c r="K235" s="2" t="s">
        <v>237</v>
      </c>
      <c r="L235" s="12">
        <v>34</v>
      </c>
      <c r="T235" s="2" t="s">
        <v>238</v>
      </c>
      <c r="U235" s="12">
        <v>22</v>
      </c>
    </row>
    <row r="236" spans="11:21">
      <c r="K236" s="2" t="s">
        <v>238</v>
      </c>
      <c r="L236" s="12">
        <v>22</v>
      </c>
      <c r="T236" s="2" t="s">
        <v>239</v>
      </c>
      <c r="U236" s="12">
        <v>49</v>
      </c>
    </row>
    <row r="237" spans="11:21">
      <c r="K237" s="2" t="s">
        <v>239</v>
      </c>
      <c r="L237" s="12">
        <v>49</v>
      </c>
      <c r="T237" s="2" t="s">
        <v>240</v>
      </c>
      <c r="U237" s="12">
        <v>46</v>
      </c>
    </row>
    <row r="238" spans="11:21">
      <c r="K238" s="2" t="s">
        <v>240</v>
      </c>
      <c r="L238" s="12">
        <v>46</v>
      </c>
      <c r="T238" s="2" t="s">
        <v>241</v>
      </c>
      <c r="U238" s="12">
        <v>36</v>
      </c>
    </row>
    <row r="239" spans="11:21">
      <c r="K239" s="2" t="s">
        <v>241</v>
      </c>
      <c r="L239" s="12">
        <v>36</v>
      </c>
      <c r="T239" s="2" t="s">
        <v>242</v>
      </c>
      <c r="U239" s="12">
        <v>42</v>
      </c>
    </row>
    <row r="240" spans="11:21">
      <c r="K240" s="2" t="s">
        <v>242</v>
      </c>
      <c r="L240" s="12">
        <v>42</v>
      </c>
      <c r="T240" s="2" t="s">
        <v>243</v>
      </c>
      <c r="U240" s="12">
        <v>38</v>
      </c>
    </row>
    <row r="241" spans="11:21">
      <c r="K241" s="2" t="s">
        <v>243</v>
      </c>
      <c r="L241" s="12">
        <v>38</v>
      </c>
      <c r="T241" s="2" t="s">
        <v>244</v>
      </c>
      <c r="U241" s="12">
        <v>48</v>
      </c>
    </row>
    <row r="242" spans="11:21">
      <c r="K242" s="2" t="s">
        <v>244</v>
      </c>
      <c r="L242" s="12">
        <v>48</v>
      </c>
      <c r="T242" s="2" t="s">
        <v>245</v>
      </c>
      <c r="U242" s="12">
        <v>36</v>
      </c>
    </row>
    <row r="243" spans="11:21">
      <c r="K243" s="2" t="s">
        <v>245</v>
      </c>
      <c r="L243" s="12">
        <v>36</v>
      </c>
      <c r="T243" s="2" t="s">
        <v>246</v>
      </c>
      <c r="U243" s="12">
        <v>28</v>
      </c>
    </row>
    <row r="244" spans="11:21">
      <c r="K244" s="2" t="s">
        <v>246</v>
      </c>
      <c r="L244" s="12">
        <v>28</v>
      </c>
      <c r="T244" s="2" t="s">
        <v>247</v>
      </c>
      <c r="U244" s="12">
        <v>24</v>
      </c>
    </row>
    <row r="245" spans="11:21">
      <c r="K245" s="2" t="s">
        <v>247</v>
      </c>
      <c r="L245" s="12">
        <v>24</v>
      </c>
      <c r="T245" s="2" t="s">
        <v>248</v>
      </c>
      <c r="U245" s="12">
        <v>26</v>
      </c>
    </row>
    <row r="246" spans="11:21">
      <c r="K246" s="2" t="s">
        <v>248</v>
      </c>
      <c r="L246" s="12">
        <v>26</v>
      </c>
      <c r="T246" s="2" t="s">
        <v>249</v>
      </c>
      <c r="U246" s="12">
        <v>48</v>
      </c>
    </row>
    <row r="247" spans="11:21">
      <c r="K247" s="2" t="s">
        <v>249</v>
      </c>
      <c r="L247" s="12">
        <v>48</v>
      </c>
      <c r="T247" s="2" t="s">
        <v>250</v>
      </c>
      <c r="U247" s="12">
        <v>28</v>
      </c>
    </row>
    <row r="248" spans="11:21">
      <c r="K248" s="2" t="s">
        <v>250</v>
      </c>
      <c r="L248" s="12">
        <v>28</v>
      </c>
      <c r="T248" s="2" t="s">
        <v>251</v>
      </c>
      <c r="U248" s="12">
        <v>32</v>
      </c>
    </row>
    <row r="249" spans="11:21">
      <c r="K249" s="2" t="s">
        <v>251</v>
      </c>
      <c r="L249" s="12">
        <v>32</v>
      </c>
      <c r="T249" s="2" t="s">
        <v>252</v>
      </c>
      <c r="U249" s="12">
        <v>52</v>
      </c>
    </row>
    <row r="250" spans="11:21">
      <c r="K250" s="2" t="s">
        <v>252</v>
      </c>
      <c r="L250" s="12">
        <v>52</v>
      </c>
      <c r="T250" s="2" t="s">
        <v>253</v>
      </c>
      <c r="U250" s="12">
        <v>19</v>
      </c>
    </row>
    <row r="251" spans="11:21">
      <c r="K251" s="2" t="s">
        <v>253</v>
      </c>
      <c r="L251" s="12">
        <v>19</v>
      </c>
      <c r="T251" s="2" t="s">
        <v>254</v>
      </c>
      <c r="U251" s="12">
        <v>38</v>
      </c>
    </row>
    <row r="252" spans="11:21">
      <c r="K252" s="2" t="s">
        <v>254</v>
      </c>
      <c r="L252" s="12">
        <v>38</v>
      </c>
      <c r="T252" s="2" t="s">
        <v>255</v>
      </c>
      <c r="U252" s="12">
        <v>32</v>
      </c>
    </row>
    <row r="253" spans="11:21">
      <c r="K253" s="2" t="s">
        <v>255</v>
      </c>
      <c r="L253" s="12">
        <v>32</v>
      </c>
      <c r="T253" s="2" t="s">
        <v>256</v>
      </c>
      <c r="U253" s="12">
        <v>24</v>
      </c>
    </row>
    <row r="254" spans="11:21">
      <c r="K254" s="2" t="s">
        <v>256</v>
      </c>
      <c r="L254" s="12">
        <v>24</v>
      </c>
      <c r="T254" s="2" t="s">
        <v>257</v>
      </c>
      <c r="U254" s="12">
        <v>61</v>
      </c>
    </row>
    <row r="255" spans="11:21">
      <c r="K255" s="2" t="s">
        <v>257</v>
      </c>
      <c r="L255" s="12">
        <v>61</v>
      </c>
      <c r="T255" s="2" t="s">
        <v>258</v>
      </c>
      <c r="U255" s="12">
        <v>38</v>
      </c>
    </row>
    <row r="256" spans="11:21">
      <c r="K256" s="2" t="s">
        <v>258</v>
      </c>
      <c r="L256" s="12">
        <v>38</v>
      </c>
      <c r="T256" s="2" t="s">
        <v>259</v>
      </c>
      <c r="U256" s="12">
        <v>43</v>
      </c>
    </row>
    <row r="257" spans="11:21">
      <c r="K257" s="2" t="s">
        <v>259</v>
      </c>
      <c r="L257" s="12">
        <v>43</v>
      </c>
      <c r="T257" s="2" t="s">
        <v>260</v>
      </c>
      <c r="U257" s="12">
        <v>57</v>
      </c>
    </row>
    <row r="258" spans="11:21">
      <c r="K258" s="2" t="s">
        <v>260</v>
      </c>
      <c r="L258" s="12">
        <v>57</v>
      </c>
      <c r="T258" s="2" t="s">
        <v>261</v>
      </c>
      <c r="U258" s="12">
        <v>55</v>
      </c>
    </row>
    <row r="259" spans="11:21">
      <c r="K259" s="2" t="s">
        <v>261</v>
      </c>
      <c r="L259" s="12">
        <v>55</v>
      </c>
      <c r="T259" s="2" t="s">
        <v>262</v>
      </c>
      <c r="U259" s="1">
        <v>30</v>
      </c>
    </row>
    <row r="260" spans="11:21">
      <c r="K260" s="2" t="s">
        <v>262</v>
      </c>
      <c r="L260" s="1">
        <v>30</v>
      </c>
      <c r="T260" s="2" t="s">
        <v>263</v>
      </c>
      <c r="U260" s="1">
        <v>27</v>
      </c>
    </row>
    <row r="261" spans="11:21">
      <c r="K261" s="2" t="s">
        <v>263</v>
      </c>
      <c r="L261" s="1">
        <v>27</v>
      </c>
      <c r="T261" s="2" t="s">
        <v>264</v>
      </c>
      <c r="U261" s="1">
        <v>26</v>
      </c>
    </row>
    <row r="262" spans="11:21">
      <c r="K262" s="2" t="s">
        <v>264</v>
      </c>
      <c r="L262" s="1">
        <v>26</v>
      </c>
      <c r="T262" s="2" t="s">
        <v>265</v>
      </c>
      <c r="U262" s="1">
        <v>30</v>
      </c>
    </row>
    <row r="263" spans="11:21">
      <c r="K263" s="2" t="s">
        <v>265</v>
      </c>
      <c r="L263" s="1">
        <v>30</v>
      </c>
      <c r="T263" s="2" t="s">
        <v>266</v>
      </c>
      <c r="U263" s="1">
        <v>28</v>
      </c>
    </row>
    <row r="264" spans="11:21">
      <c r="K264" s="2" t="s">
        <v>266</v>
      </c>
      <c r="L264" s="1">
        <v>28</v>
      </c>
      <c r="T264" s="2" t="s">
        <v>267</v>
      </c>
      <c r="U264" s="1">
        <v>25</v>
      </c>
    </row>
    <row r="265" spans="11:21">
      <c r="K265" s="2" t="s">
        <v>267</v>
      </c>
      <c r="L265" s="1">
        <v>25</v>
      </c>
      <c r="T265" s="2" t="s">
        <v>268</v>
      </c>
      <c r="U265" s="1">
        <v>25</v>
      </c>
    </row>
    <row r="266" spans="11:21">
      <c r="K266" s="2" t="s">
        <v>268</v>
      </c>
      <c r="L266" s="1">
        <v>25</v>
      </c>
      <c r="T266" s="2" t="s">
        <v>269</v>
      </c>
      <c r="U266" s="1">
        <v>46</v>
      </c>
    </row>
    <row r="267" spans="11:21">
      <c r="K267" s="2" t="s">
        <v>269</v>
      </c>
      <c r="L267" s="1">
        <v>46</v>
      </c>
      <c r="T267" s="2" t="s">
        <v>270</v>
      </c>
      <c r="U267" s="1">
        <v>45</v>
      </c>
    </row>
    <row r="268" spans="11:21">
      <c r="K268" s="2" t="s">
        <v>270</v>
      </c>
      <c r="L268" s="1">
        <v>45</v>
      </c>
      <c r="T268" s="2" t="s">
        <v>271</v>
      </c>
      <c r="U268" s="12">
        <v>38</v>
      </c>
    </row>
    <row r="269" spans="11:21">
      <c r="K269" s="2" t="s">
        <v>271</v>
      </c>
      <c r="L269" s="12">
        <v>38</v>
      </c>
      <c r="T269" s="2" t="s">
        <v>272</v>
      </c>
      <c r="U269" s="1">
        <v>27</v>
      </c>
    </row>
    <row r="270" spans="11:21">
      <c r="K270" s="2" t="s">
        <v>272</v>
      </c>
      <c r="L270" s="1">
        <v>27</v>
      </c>
      <c r="T270" s="2" t="s">
        <v>273</v>
      </c>
      <c r="U270" s="12">
        <v>38</v>
      </c>
    </row>
    <row r="271" spans="11:21">
      <c r="K271" s="2" t="s">
        <v>273</v>
      </c>
      <c r="L271" s="12">
        <v>38</v>
      </c>
      <c r="T271" s="2" t="s">
        <v>274</v>
      </c>
      <c r="U271" s="1">
        <v>50</v>
      </c>
    </row>
    <row r="272" spans="11:21">
      <c r="K272" s="2" t="s">
        <v>274</v>
      </c>
      <c r="L272" s="1">
        <v>50</v>
      </c>
      <c r="T272" s="2" t="s">
        <v>275</v>
      </c>
      <c r="U272" s="1">
        <v>28</v>
      </c>
    </row>
    <row r="273" spans="11:21">
      <c r="K273" s="2" t="s">
        <v>275</v>
      </c>
      <c r="L273" s="1">
        <v>28</v>
      </c>
      <c r="T273" s="2" t="s">
        <v>276</v>
      </c>
      <c r="U273" s="1">
        <v>39</v>
      </c>
    </row>
    <row r="274" spans="11:21">
      <c r="K274" s="2" t="s">
        <v>276</v>
      </c>
      <c r="L274" s="1">
        <v>39</v>
      </c>
      <c r="T274" s="2" t="s">
        <v>277</v>
      </c>
      <c r="U274" s="1">
        <v>25</v>
      </c>
    </row>
    <row r="275" spans="11:21">
      <c r="K275" s="2" t="s">
        <v>277</v>
      </c>
      <c r="L275" s="1">
        <v>25</v>
      </c>
      <c r="T275" s="2" t="s">
        <v>278</v>
      </c>
      <c r="U275" s="1">
        <v>43</v>
      </c>
    </row>
    <row r="276" spans="11:21">
      <c r="K276" s="2" t="s">
        <v>278</v>
      </c>
      <c r="L276" s="1">
        <v>43</v>
      </c>
      <c r="T276" s="2" t="s">
        <v>279</v>
      </c>
      <c r="U276" s="1">
        <v>29</v>
      </c>
    </row>
    <row r="277" spans="11:21">
      <c r="K277" s="2" t="s">
        <v>279</v>
      </c>
      <c r="L277" s="1">
        <v>29</v>
      </c>
      <c r="T277" s="2" t="s">
        <v>280</v>
      </c>
      <c r="U277" s="1">
        <v>44</v>
      </c>
    </row>
    <row r="278" spans="11:21">
      <c r="K278" s="2" t="s">
        <v>280</v>
      </c>
      <c r="L278" s="1">
        <v>44</v>
      </c>
      <c r="T278" s="2" t="s">
        <v>281</v>
      </c>
      <c r="U278" s="1">
        <v>21</v>
      </c>
    </row>
    <row r="279" spans="11:21">
      <c r="K279" s="2" t="s">
        <v>281</v>
      </c>
      <c r="L279" s="1">
        <v>21</v>
      </c>
      <c r="T279" s="2" t="s">
        <v>282</v>
      </c>
      <c r="U279" s="1">
        <v>55</v>
      </c>
    </row>
    <row r="280" spans="11:21">
      <c r="K280" s="2" t="s">
        <v>282</v>
      </c>
      <c r="L280" s="1">
        <v>55</v>
      </c>
      <c r="T280" s="2" t="s">
        <v>283</v>
      </c>
      <c r="U280" s="1">
        <v>38</v>
      </c>
    </row>
    <row r="281" spans="11:21">
      <c r="K281" s="2" t="s">
        <v>283</v>
      </c>
      <c r="L281" s="1">
        <v>38</v>
      </c>
      <c r="T281" s="2" t="s">
        <v>284</v>
      </c>
      <c r="U281" s="1">
        <v>25</v>
      </c>
    </row>
    <row r="282" spans="11:21">
      <c r="K282" s="2" t="s">
        <v>284</v>
      </c>
      <c r="L282" s="1">
        <v>25</v>
      </c>
      <c r="T282" s="2" t="s">
        <v>285</v>
      </c>
      <c r="U282" s="1">
        <v>56</v>
      </c>
    </row>
    <row r="283" spans="11:21">
      <c r="K283" s="2" t="s">
        <v>285</v>
      </c>
      <c r="L283" s="1">
        <v>56</v>
      </c>
      <c r="T283" s="2" t="s">
        <v>286</v>
      </c>
      <c r="U283" s="1">
        <v>29</v>
      </c>
    </row>
    <row r="284" spans="11:21">
      <c r="K284" s="2" t="s">
        <v>286</v>
      </c>
      <c r="L284" s="1">
        <v>29</v>
      </c>
      <c r="T284" s="2" t="s">
        <v>287</v>
      </c>
      <c r="U284" s="1">
        <v>47</v>
      </c>
    </row>
    <row r="285" spans="11:21">
      <c r="K285" s="2" t="s">
        <v>287</v>
      </c>
      <c r="L285" s="1">
        <v>47</v>
      </c>
      <c r="T285" s="2" t="s">
        <v>288</v>
      </c>
      <c r="U285" s="1">
        <v>23</v>
      </c>
    </row>
    <row r="286" spans="11:21">
      <c r="K286" s="2" t="s">
        <v>288</v>
      </c>
      <c r="L286" s="1">
        <v>23</v>
      </c>
      <c r="T286" s="2" t="s">
        <v>289</v>
      </c>
      <c r="U286" s="1">
        <v>49</v>
      </c>
    </row>
    <row r="287" spans="11:21">
      <c r="K287" s="2" t="s">
        <v>289</v>
      </c>
      <c r="L287" s="1">
        <v>49</v>
      </c>
      <c r="T287" s="2" t="s">
        <v>290</v>
      </c>
      <c r="U287" s="12">
        <v>38</v>
      </c>
    </row>
    <row r="288" spans="11:21">
      <c r="K288" s="2" t="s">
        <v>290</v>
      </c>
      <c r="L288" s="12">
        <v>38</v>
      </c>
      <c r="T288" s="2" t="s">
        <v>291</v>
      </c>
      <c r="U288" s="1">
        <v>37</v>
      </c>
    </row>
    <row r="289" spans="11:21">
      <c r="K289" s="2" t="s">
        <v>291</v>
      </c>
      <c r="L289" s="1">
        <v>37</v>
      </c>
      <c r="T289" s="2" t="s">
        <v>292</v>
      </c>
      <c r="U289" s="1">
        <v>61</v>
      </c>
    </row>
    <row r="290" spans="11:21">
      <c r="K290" s="2" t="s">
        <v>292</v>
      </c>
      <c r="L290" s="1">
        <v>61</v>
      </c>
      <c r="T290" s="2" t="s">
        <v>293</v>
      </c>
      <c r="U290" s="1">
        <v>58</v>
      </c>
    </row>
    <row r="291" spans="11:21">
      <c r="K291" s="2" t="s">
        <v>293</v>
      </c>
      <c r="L291" s="1">
        <v>58</v>
      </c>
      <c r="T291" s="2" t="s">
        <v>294</v>
      </c>
      <c r="U291" s="1">
        <v>33</v>
      </c>
    </row>
    <row r="292" spans="11:21">
      <c r="K292" s="2" t="s">
        <v>294</v>
      </c>
      <c r="L292" s="1">
        <v>33</v>
      </c>
      <c r="T292" s="2" t="s">
        <v>295</v>
      </c>
      <c r="U292" s="1">
        <v>30</v>
      </c>
    </row>
    <row r="293" spans="11:21">
      <c r="K293" s="2" t="s">
        <v>295</v>
      </c>
      <c r="L293" s="1">
        <v>30</v>
      </c>
      <c r="T293" s="2" t="s">
        <v>296</v>
      </c>
      <c r="U293" s="1">
        <v>45</v>
      </c>
    </row>
    <row r="294" spans="11:21">
      <c r="K294" s="2" t="s">
        <v>296</v>
      </c>
      <c r="L294" s="1">
        <v>45</v>
      </c>
      <c r="T294" s="2" t="s">
        <v>297</v>
      </c>
      <c r="U294" s="1">
        <v>23</v>
      </c>
    </row>
    <row r="295" spans="11:21">
      <c r="K295" s="2" t="s">
        <v>297</v>
      </c>
      <c r="L295" s="1">
        <v>23</v>
      </c>
      <c r="T295" s="2" t="s">
        <v>298</v>
      </c>
      <c r="U295" s="1">
        <v>51</v>
      </c>
    </row>
    <row r="296" spans="11:21">
      <c r="K296" s="2" t="s">
        <v>298</v>
      </c>
      <c r="L296" s="1">
        <v>51</v>
      </c>
      <c r="T296" s="2" t="s">
        <v>299</v>
      </c>
      <c r="U296" s="1">
        <v>25</v>
      </c>
    </row>
    <row r="297" spans="11:21">
      <c r="K297" s="2" t="s">
        <v>299</v>
      </c>
      <c r="L297" s="1">
        <v>25</v>
      </c>
      <c r="T297" s="2" t="s">
        <v>300</v>
      </c>
      <c r="U297" s="1">
        <v>19</v>
      </c>
    </row>
    <row r="298" spans="11:21">
      <c r="K298" s="2" t="s">
        <v>300</v>
      </c>
      <c r="L298" s="1">
        <v>19</v>
      </c>
      <c r="T298" s="2" t="s">
        <v>301</v>
      </c>
      <c r="U298" s="1">
        <v>30</v>
      </c>
    </row>
    <row r="299" spans="11:21">
      <c r="K299" s="2" t="s">
        <v>301</v>
      </c>
      <c r="L299" s="1">
        <v>30</v>
      </c>
      <c r="T299" s="2" t="s">
        <v>302</v>
      </c>
      <c r="U299" s="1">
        <v>26</v>
      </c>
    </row>
    <row r="300" spans="11:21">
      <c r="K300" s="2" t="s">
        <v>302</v>
      </c>
      <c r="L300" s="1">
        <v>26</v>
      </c>
      <c r="T300" s="2" t="s">
        <v>303</v>
      </c>
      <c r="U300" s="1">
        <v>94</v>
      </c>
    </row>
    <row r="301" spans="11:21">
      <c r="K301" s="2" t="s">
        <v>303</v>
      </c>
      <c r="L301" s="1">
        <v>94</v>
      </c>
      <c r="T301" s="2" t="s">
        <v>304</v>
      </c>
      <c r="U301" s="1">
        <v>37</v>
      </c>
    </row>
    <row r="302" spans="11:21">
      <c r="K302" s="2" t="s">
        <v>304</v>
      </c>
      <c r="L302" s="1">
        <v>37</v>
      </c>
      <c r="T302" s="2" t="s">
        <v>305</v>
      </c>
      <c r="U302" s="1">
        <v>58</v>
      </c>
    </row>
    <row r="303" spans="11:21">
      <c r="K303" s="2" t="s">
        <v>305</v>
      </c>
      <c r="L303" s="1">
        <v>58</v>
      </c>
      <c r="T303" s="2" t="s">
        <v>306</v>
      </c>
      <c r="U303" s="12">
        <v>38</v>
      </c>
    </row>
    <row r="304" spans="11:21">
      <c r="K304" s="2" t="s">
        <v>306</v>
      </c>
      <c r="L304" s="12">
        <v>38</v>
      </c>
      <c r="T304" s="2" t="s">
        <v>307</v>
      </c>
      <c r="U304" s="1">
        <v>31</v>
      </c>
    </row>
    <row r="305" spans="11:21">
      <c r="K305" s="2" t="s">
        <v>307</v>
      </c>
      <c r="L305" s="1">
        <v>31</v>
      </c>
      <c r="T305" s="2" t="s">
        <v>308</v>
      </c>
      <c r="U305" s="1">
        <v>40</v>
      </c>
    </row>
    <row r="306" spans="11:21">
      <c r="K306" s="2" t="s">
        <v>308</v>
      </c>
      <c r="L306" s="1">
        <v>40</v>
      </c>
      <c r="T306" s="2" t="s">
        <v>309</v>
      </c>
      <c r="U306" s="1">
        <v>38</v>
      </c>
    </row>
    <row r="307" spans="11:21">
      <c r="K307" s="2" t="s">
        <v>309</v>
      </c>
      <c r="L307" s="1">
        <v>38</v>
      </c>
      <c r="T307" s="2" t="s">
        <v>310</v>
      </c>
      <c r="U307" s="1">
        <v>42</v>
      </c>
    </row>
    <row r="308" spans="11:21">
      <c r="K308" s="2" t="s">
        <v>310</v>
      </c>
      <c r="L308" s="1">
        <v>42</v>
      </c>
      <c r="T308" s="2" t="s">
        <v>311</v>
      </c>
      <c r="U308" s="1">
        <v>26</v>
      </c>
    </row>
    <row r="309" spans="11:21">
      <c r="K309" s="2" t="s">
        <v>311</v>
      </c>
      <c r="L309" s="1">
        <v>26</v>
      </c>
      <c r="T309" s="2" t="s">
        <v>312</v>
      </c>
      <c r="U309" s="1">
        <v>65</v>
      </c>
    </row>
    <row r="310" spans="11:21">
      <c r="K310" s="2" t="s">
        <v>312</v>
      </c>
      <c r="L310" s="1">
        <v>65</v>
      </c>
      <c r="T310" s="2" t="s">
        <v>313</v>
      </c>
      <c r="U310" s="1">
        <v>23</v>
      </c>
    </row>
    <row r="311" spans="11:21">
      <c r="K311" s="2" t="s">
        <v>313</v>
      </c>
      <c r="L311" s="1">
        <v>23</v>
      </c>
      <c r="T311" s="2" t="s">
        <v>314</v>
      </c>
      <c r="U311" s="1">
        <v>24</v>
      </c>
    </row>
    <row r="312" spans="11:21">
      <c r="K312" s="2" t="s">
        <v>314</v>
      </c>
      <c r="L312" s="1">
        <v>24</v>
      </c>
      <c r="T312" s="2" t="s">
        <v>315</v>
      </c>
      <c r="U312" s="1">
        <v>42</v>
      </c>
    </row>
    <row r="313" spans="11:21">
      <c r="K313" s="2" t="s">
        <v>315</v>
      </c>
      <c r="L313" s="1">
        <v>42</v>
      </c>
      <c r="T313" s="2" t="s">
        <v>316</v>
      </c>
      <c r="U313" s="1">
        <v>25</v>
      </c>
    </row>
    <row r="314" spans="11:21">
      <c r="K314" s="2" t="s">
        <v>316</v>
      </c>
      <c r="L314" s="1">
        <v>25</v>
      </c>
      <c r="T314" s="2" t="s">
        <v>317</v>
      </c>
      <c r="U314" s="1">
        <v>47</v>
      </c>
    </row>
    <row r="315" spans="11:21">
      <c r="K315" s="2" t="s">
        <v>317</v>
      </c>
      <c r="L315" s="1">
        <v>47</v>
      </c>
      <c r="T315" s="2" t="s">
        <v>318</v>
      </c>
      <c r="U315" s="1">
        <v>71</v>
      </c>
    </row>
    <row r="316" spans="11:21">
      <c r="K316" s="2" t="s">
        <v>318</v>
      </c>
      <c r="L316" s="1">
        <v>71</v>
      </c>
      <c r="T316" s="2" t="s">
        <v>319</v>
      </c>
      <c r="U316" s="1">
        <v>22</v>
      </c>
    </row>
    <row r="317" spans="11:21">
      <c r="K317" s="2" t="s">
        <v>319</v>
      </c>
      <c r="L317" s="1">
        <v>22</v>
      </c>
      <c r="T317" s="2" t="s">
        <v>320</v>
      </c>
      <c r="U317" s="1">
        <v>50</v>
      </c>
    </row>
    <row r="318" spans="11:21">
      <c r="K318" s="2" t="s">
        <v>320</v>
      </c>
      <c r="L318" s="1">
        <v>50</v>
      </c>
      <c r="T318" s="2" t="s">
        <v>321</v>
      </c>
      <c r="U318" s="1">
        <v>46</v>
      </c>
    </row>
    <row r="319" spans="11:21">
      <c r="K319" s="2" t="s">
        <v>321</v>
      </c>
      <c r="L319" s="1">
        <v>46</v>
      </c>
      <c r="T319" s="2" t="s">
        <v>322</v>
      </c>
      <c r="U319" s="1">
        <v>26</v>
      </c>
    </row>
    <row r="320" spans="11:21">
      <c r="K320" s="2" t="s">
        <v>322</v>
      </c>
      <c r="L320" s="1">
        <v>26</v>
      </c>
      <c r="T320" s="2" t="s">
        <v>323</v>
      </c>
      <c r="U320" s="1">
        <v>21</v>
      </c>
    </row>
    <row r="321" spans="11:21">
      <c r="K321" s="2" t="s">
        <v>323</v>
      </c>
      <c r="L321" s="1">
        <v>21</v>
      </c>
      <c r="T321" s="2" t="s">
        <v>324</v>
      </c>
      <c r="U321" s="1">
        <v>22</v>
      </c>
    </row>
    <row r="322" spans="11:21">
      <c r="K322" s="2" t="s">
        <v>324</v>
      </c>
      <c r="L322" s="1">
        <v>22</v>
      </c>
      <c r="T322" s="2" t="s">
        <v>325</v>
      </c>
      <c r="U322" s="1">
        <v>22</v>
      </c>
    </row>
    <row r="323" spans="11:21">
      <c r="K323" s="2" t="s">
        <v>325</v>
      </c>
      <c r="L323" s="1">
        <v>22</v>
      </c>
      <c r="T323" s="2" t="s">
        <v>326</v>
      </c>
      <c r="U323" s="1">
        <v>19</v>
      </c>
    </row>
    <row r="324" spans="11:21">
      <c r="K324" s="2" t="s">
        <v>326</v>
      </c>
      <c r="L324" s="1">
        <v>19</v>
      </c>
      <c r="T324" s="2" t="s">
        <v>327</v>
      </c>
      <c r="U324" s="1">
        <v>29</v>
      </c>
    </row>
    <row r="325" spans="11:21">
      <c r="K325" s="2" t="s">
        <v>327</v>
      </c>
      <c r="L325" s="1">
        <v>29</v>
      </c>
      <c r="T325" s="2" t="s">
        <v>328</v>
      </c>
      <c r="U325" s="1">
        <v>22</v>
      </c>
    </row>
    <row r="326" spans="11:21">
      <c r="K326" s="2" t="s">
        <v>328</v>
      </c>
      <c r="L326" s="1">
        <v>22</v>
      </c>
      <c r="T326" s="2" t="s">
        <v>329</v>
      </c>
      <c r="U326" s="1">
        <v>33</v>
      </c>
    </row>
    <row r="327" spans="11:21">
      <c r="K327" s="2" t="s">
        <v>329</v>
      </c>
      <c r="L327" s="1">
        <v>33</v>
      </c>
      <c r="T327" s="2" t="s">
        <v>330</v>
      </c>
      <c r="U327" s="1">
        <v>46</v>
      </c>
    </row>
    <row r="328" spans="11:21">
      <c r="K328" s="2" t="s">
        <v>330</v>
      </c>
      <c r="L328" s="1">
        <v>46</v>
      </c>
      <c r="T328" s="2" t="s">
        <v>331</v>
      </c>
      <c r="U328" s="1">
        <v>24</v>
      </c>
    </row>
    <row r="329" spans="11:21">
      <c r="K329" s="2" t="s">
        <v>331</v>
      </c>
      <c r="L329" s="1">
        <v>24</v>
      </c>
      <c r="T329" s="2" t="s">
        <v>332</v>
      </c>
      <c r="U329" s="1">
        <v>28</v>
      </c>
    </row>
    <row r="330" spans="11:21">
      <c r="K330" s="2" t="s">
        <v>332</v>
      </c>
      <c r="L330" s="1">
        <v>28</v>
      </c>
      <c r="T330" s="2" t="s">
        <v>333</v>
      </c>
      <c r="U330" s="1">
        <v>44</v>
      </c>
    </row>
    <row r="331" spans="11:21">
      <c r="K331" s="2" t="s">
        <v>333</v>
      </c>
      <c r="L331" s="1">
        <v>44</v>
      </c>
      <c r="T331" s="2" t="s">
        <v>334</v>
      </c>
      <c r="U331" s="1">
        <v>19</v>
      </c>
    </row>
    <row r="332" spans="11:21">
      <c r="K332" s="2" t="s">
        <v>334</v>
      </c>
      <c r="L332" s="1">
        <v>19</v>
      </c>
      <c r="T332" s="2" t="s">
        <v>335</v>
      </c>
      <c r="U332" s="1">
        <v>52</v>
      </c>
    </row>
    <row r="333" spans="11:21">
      <c r="K333" s="2" t="s">
        <v>335</v>
      </c>
      <c r="L333" s="1">
        <v>52</v>
      </c>
      <c r="T333" s="2" t="s">
        <v>336</v>
      </c>
      <c r="U333" s="1">
        <v>32</v>
      </c>
    </row>
    <row r="334" spans="11:21">
      <c r="K334" s="2" t="s">
        <v>336</v>
      </c>
      <c r="L334" s="1">
        <v>32</v>
      </c>
      <c r="T334" s="2" t="s">
        <v>337</v>
      </c>
      <c r="U334" s="1">
        <v>51</v>
      </c>
    </row>
    <row r="335" spans="11:21">
      <c r="K335" s="2" t="s">
        <v>337</v>
      </c>
      <c r="L335" s="1">
        <v>51</v>
      </c>
      <c r="T335" s="2" t="s">
        <v>338</v>
      </c>
      <c r="U335" s="1">
        <v>20</v>
      </c>
    </row>
    <row r="336" spans="11:21">
      <c r="K336" s="2" t="s">
        <v>338</v>
      </c>
      <c r="L336" s="1">
        <v>20</v>
      </c>
      <c r="T336" s="2" t="s">
        <v>339</v>
      </c>
      <c r="U336" s="1">
        <v>29</v>
      </c>
    </row>
    <row r="337" spans="11:21">
      <c r="K337" s="2" t="s">
        <v>339</v>
      </c>
      <c r="L337" s="1">
        <v>29</v>
      </c>
      <c r="T337" s="2" t="s">
        <v>340</v>
      </c>
      <c r="U337" s="1">
        <v>49</v>
      </c>
    </row>
    <row r="338" spans="11:21">
      <c r="K338" s="2" t="s">
        <v>340</v>
      </c>
      <c r="L338" s="1">
        <v>49</v>
      </c>
      <c r="T338" s="2" t="s">
        <v>341</v>
      </c>
      <c r="U338" s="1">
        <v>27</v>
      </c>
    </row>
    <row r="339" spans="11:21">
      <c r="K339" s="2" t="s">
        <v>341</v>
      </c>
      <c r="L339" s="1">
        <v>27</v>
      </c>
      <c r="T339" s="2" t="s">
        <v>342</v>
      </c>
      <c r="U339" s="1">
        <v>26</v>
      </c>
    </row>
    <row r="340" spans="11:21">
      <c r="K340" s="2" t="s">
        <v>342</v>
      </c>
      <c r="L340" s="1">
        <v>26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分布分析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lynne</dc:creator>
  <cp:lastModifiedBy>liu lynne</cp:lastModifiedBy>
  <dcterms:created xsi:type="dcterms:W3CDTF">2024-10-31T02:05:16Z</dcterms:created>
  <dcterms:modified xsi:type="dcterms:W3CDTF">2024-10-31T08:04:22Z</dcterms:modified>
</cp:coreProperties>
</file>